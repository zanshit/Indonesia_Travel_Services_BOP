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ana\iCloudDrive\Kementerian Pariwisata\Biro Data dan Sistem Informasi\2026\Wisatawan Nusantara\Maret\"/>
    </mc:Choice>
  </mc:AlternateContent>
  <xr:revisionPtr revIDLastSave="0" documentId="13_ncr:1_{C98BF205-80A9-40AD-B95B-1C62A6EB381A}" xr6:coauthVersionLast="47" xr6:coauthVersionMax="47" xr10:uidLastSave="{00000000-0000-0000-0000-000000000000}"/>
  <bookViews>
    <workbookView xWindow="-110" yWindow="-110" windowWidth="19420" windowHeight="11500" xr2:uid="{F00B7938-9318-4E58-9ACB-6CAB3671800C}"/>
  </bookViews>
  <sheets>
    <sheet name="Tujuan" sheetId="1" r:id="rId1"/>
  </sheets>
  <definedNames>
    <definedName name="\d">#REF!</definedName>
    <definedName name="\g">#REF!</definedName>
    <definedName name="\h">#N/A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Fill">#REF!</definedName>
    <definedName name="_MatInverse_In">#REF!</definedName>
    <definedName name="_MatInverse_Out">#REF!</definedName>
    <definedName name="a">#REF!</definedName>
    <definedName name="aa">#REF!</definedName>
    <definedName name="afa">#REF!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hummm">#REF!</definedName>
    <definedName name="Kategori">#REF!</definedName>
    <definedName name="MESSAGE">#REF!</definedName>
    <definedName name="MSG_CELL">#REF!</definedName>
    <definedName name="Nama_KabKota">#REF!</definedName>
    <definedName name="Nama_Provinsi">#REF!</definedName>
    <definedName name="NamaTabel">OFFSET(INDIRECT("S3R!$"&amp;#REF!&amp;"$6"),0,0,1,#REF!)</definedName>
    <definedName name="NamaTabelImplisit">OFFSET(INDIRECT("S3R!$"&amp;#REF!&amp;"$6"),0,0,1,#REF!)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_xlnm.Print_Area" localSheetId="0">Tujuan!$A$1:$AJ$46</definedName>
    <definedName name="_xlnm.Print_Area">#REF!</definedName>
    <definedName name="Print_Area_MI">#REF!</definedName>
    <definedName name="_xlnm.Print_Titles" localSheetId="0">Tujuan!$1:$4</definedName>
    <definedName name="_xlnm.Print_Titles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abel">OFFSET(INDIRECT("S3R!$"&amp;#REF!&amp;"$"&amp;#REF!),0,0,1,#REF!)</definedName>
    <definedName name="TabelImplisit">OFFSET(INDIRECT("S3R!$"&amp;#REF!&amp;"$"&amp;#REF!),0,0,1,#REF!)</definedName>
    <definedName name="TabelKab">OFFSET(INDIRECT("S3R!$"&amp;#REF!&amp;"$"&amp;#REF!),0,0,1,#REF!)</definedName>
    <definedName name="TabelKabImplisit">OFFSET(INDIRECT("S3R!$"&amp;#REF!&amp;"$"&amp;#REF!),0,0,1,#REF!)</definedName>
    <definedName name="TabelKabTotal">OFFSET(INDIRECT("S3R!$"&amp;#REF!&amp;"$192"),0,0,1,#REF!)</definedName>
    <definedName name="TabelKabTotalImplisit">OFFSET(INDIRECT("S3R!$"&amp;#REF!&amp;"$333"),0,0,1,#REF!)</definedName>
    <definedName name="TabelTotal">OFFSET(INDIRECT("S3R!$"&amp;#REF!&amp;"$191"),0,0,1,#REF!)</definedName>
    <definedName name="TabelTotalImplisit">OFFSET(INDIRECT("S3R!$"&amp;#REF!&amp;"$332"),0,0,1,#REF!)</definedName>
    <definedName name="Tahun">#REF!</definedName>
    <definedName name="TEMP">#REF!</definedName>
    <definedName name="wisman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3" i="1" l="1"/>
  <c r="S43" i="1"/>
  <c r="AE15" i="1" s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5" i="1"/>
  <c r="AD43" i="1"/>
  <c r="AD5" i="1"/>
  <c r="P43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5" i="1"/>
  <c r="R43" i="1"/>
  <c r="Q43" i="1"/>
  <c r="D43" i="1"/>
  <c r="E43" i="1"/>
  <c r="F43" i="1"/>
  <c r="G43" i="1"/>
  <c r="H43" i="1"/>
  <c r="I43" i="1"/>
  <c r="J43" i="1"/>
  <c r="K43" i="1"/>
  <c r="L43" i="1"/>
  <c r="M43" i="1"/>
  <c r="N43" i="1"/>
  <c r="C43" i="1"/>
  <c r="AD39" i="1"/>
  <c r="AD7" i="1"/>
  <c r="AD8" i="1"/>
  <c r="AI8" i="1" s="1"/>
  <c r="AD9" i="1"/>
  <c r="AD10" i="1"/>
  <c r="AD11" i="1"/>
  <c r="AD12" i="1"/>
  <c r="AD13" i="1"/>
  <c r="AD14" i="1"/>
  <c r="AD15" i="1"/>
  <c r="AI15" i="1" s="1"/>
  <c r="AD16" i="1"/>
  <c r="AI16" i="1" s="1"/>
  <c r="AD17" i="1"/>
  <c r="AD18" i="1"/>
  <c r="AI18" i="1" s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I31" i="1" s="1"/>
  <c r="AD32" i="1"/>
  <c r="AD33" i="1"/>
  <c r="AD34" i="1"/>
  <c r="AD35" i="1"/>
  <c r="AD36" i="1"/>
  <c r="AD37" i="1"/>
  <c r="AD38" i="1"/>
  <c r="AD40" i="1"/>
  <c r="AD41" i="1"/>
  <c r="AD42" i="1"/>
  <c r="AI42" i="1" s="1"/>
  <c r="AD6" i="1"/>
  <c r="AI6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6" i="1"/>
  <c r="AC5" i="1"/>
  <c r="AA43" i="1"/>
  <c r="AB43" i="1"/>
  <c r="Z43" i="1"/>
  <c r="Y43" i="1"/>
  <c r="X43" i="1"/>
  <c r="W43" i="1"/>
  <c r="AE14" i="1" l="1"/>
  <c r="AE37" i="1"/>
  <c r="AE24" i="1"/>
  <c r="AE11" i="1"/>
  <c r="AE10" i="1"/>
  <c r="AE33" i="1"/>
  <c r="AE21" i="1"/>
  <c r="AE9" i="1"/>
  <c r="AE13" i="1"/>
  <c r="AE12" i="1"/>
  <c r="AE34" i="1"/>
  <c r="AE5" i="1"/>
  <c r="AE32" i="1"/>
  <c r="AE20" i="1"/>
  <c r="AE8" i="1"/>
  <c r="AH43" i="1"/>
  <c r="AE22" i="1"/>
  <c r="AE6" i="1"/>
  <c r="AE31" i="1"/>
  <c r="AE19" i="1"/>
  <c r="AE7" i="1"/>
  <c r="AE38" i="1"/>
  <c r="AE23" i="1"/>
  <c r="AE42" i="1"/>
  <c r="AE30" i="1"/>
  <c r="AE18" i="1"/>
  <c r="AE43" i="1"/>
  <c r="AE26" i="1"/>
  <c r="AE25" i="1"/>
  <c r="AE36" i="1"/>
  <c r="AE35" i="1"/>
  <c r="AE41" i="1"/>
  <c r="AE29" i="1"/>
  <c r="AE17" i="1"/>
  <c r="AE40" i="1"/>
  <c r="AE28" i="1"/>
  <c r="AE16" i="1"/>
  <c r="AE39" i="1"/>
  <c r="AE27" i="1"/>
  <c r="AI10" i="1"/>
  <c r="AI5" i="1"/>
  <c r="AI32" i="1"/>
  <c r="AI7" i="1"/>
  <c r="AI26" i="1"/>
  <c r="AI23" i="1"/>
  <c r="AF5" i="1"/>
  <c r="AI41" i="1"/>
  <c r="AI25" i="1"/>
  <c r="AI39" i="1"/>
  <c r="AC43" i="1"/>
  <c r="AI17" i="1"/>
  <c r="AI33" i="1"/>
  <c r="AI9" i="1"/>
  <c r="AI27" i="1"/>
  <c r="AI34" i="1"/>
  <c r="AI29" i="1"/>
  <c r="AI28" i="1"/>
  <c r="AI20" i="1"/>
  <c r="AI12" i="1"/>
  <c r="AI11" i="1"/>
  <c r="AI40" i="1"/>
  <c r="AI24" i="1"/>
  <c r="AI19" i="1"/>
  <c r="AI35" i="1"/>
  <c r="AI30" i="1"/>
  <c r="AI21" i="1"/>
  <c r="AI37" i="1"/>
  <c r="AI14" i="1"/>
  <c r="AI13" i="1"/>
  <c r="AI36" i="1"/>
  <c r="AI38" i="1"/>
  <c r="AI22" i="1"/>
  <c r="AI43" i="1" l="1"/>
  <c r="AF43" i="1"/>
  <c r="AF13" i="1"/>
  <c r="AF33" i="1"/>
  <c r="AF28" i="1"/>
  <c r="AF36" i="1"/>
  <c r="AF24" i="1"/>
  <c r="AF32" i="1"/>
  <c r="AF6" i="1"/>
  <c r="AF12" i="1"/>
  <c r="AF17" i="1"/>
  <c r="AF20" i="1"/>
  <c r="AF31" i="1"/>
  <c r="AF7" i="1"/>
  <c r="AF21" i="1"/>
  <c r="AF29" i="1"/>
  <c r="AF8" i="1"/>
  <c r="AF37" i="1"/>
  <c r="AF35" i="1"/>
  <c r="AF14" i="1"/>
  <c r="AF10" i="1"/>
  <c r="AF40" i="1"/>
  <c r="AF16" i="1"/>
  <c r="AF30" i="1"/>
  <c r="AF41" i="1"/>
  <c r="AF38" i="1"/>
  <c r="AF26" i="1"/>
  <c r="AF22" i="1"/>
  <c r="AF11" i="1"/>
  <c r="AF34" i="1"/>
  <c r="AF19" i="1"/>
  <c r="AF39" i="1"/>
  <c r="AF42" i="1"/>
  <c r="AF15" i="1"/>
  <c r="AF18" i="1"/>
  <c r="AF23" i="1"/>
  <c r="AF25" i="1"/>
  <c r="AF9" i="1"/>
  <c r="AF27" i="1"/>
</calcChain>
</file>

<file path=xl/sharedStrings.xml><?xml version="1.0" encoding="utf-8"?>
<sst xmlns="http://schemas.openxmlformats.org/spreadsheetml/2006/main" count="76" uniqueCount="64">
  <si>
    <t>Provinsi Tujuan</t>
  </si>
  <si>
    <t>01. Aceh</t>
  </si>
  <si>
    <t>02. Sumatera Utara</t>
  </si>
  <si>
    <t>03. Sumatera Barat</t>
  </si>
  <si>
    <t>04. Riau</t>
  </si>
  <si>
    <t>05. Jambi</t>
  </si>
  <si>
    <t>06. Sumatera Selatan</t>
  </si>
  <si>
    <t>07. Bengkulu</t>
  </si>
  <si>
    <t>08. Lampung</t>
  </si>
  <si>
    <t>09. Kepulauan Bangka Belitung</t>
  </si>
  <si>
    <t>10. Kepulauan Riau</t>
  </si>
  <si>
    <t>11. DKI Jakarta</t>
  </si>
  <si>
    <t>12. Jawa Barat</t>
  </si>
  <si>
    <t>13. Jawa Tengah</t>
  </si>
  <si>
    <t>14. DI Yogyakarta</t>
  </si>
  <si>
    <t>15. Jawa Timur</t>
  </si>
  <si>
    <t>16. Banten</t>
  </si>
  <si>
    <t>17. Bali</t>
  </si>
  <si>
    <t>18. Nusa Tenggara Barat</t>
  </si>
  <si>
    <t>19. Nusa Tenggara Timur</t>
  </si>
  <si>
    <t>20. Kalimantan Barat</t>
  </si>
  <si>
    <t>21. Kalimantan Tengah</t>
  </si>
  <si>
    <t>22. Kalimantan Selatan</t>
  </si>
  <si>
    <t>23. Kalimantan Timur</t>
  </si>
  <si>
    <t>24. Kalimantan Utara</t>
  </si>
  <si>
    <t>25. Sulawesi Utara</t>
  </si>
  <si>
    <t>26. Sulawesi Tengah</t>
  </si>
  <si>
    <t>27. Sulawesi Selatan</t>
  </si>
  <si>
    <t>28. Sulawesi Tenggara</t>
  </si>
  <si>
    <t>29. Gorontalo</t>
  </si>
  <si>
    <t>30. Sulawesi Barat</t>
  </si>
  <si>
    <t>31. Maluku</t>
  </si>
  <si>
    <t>32. Maluku Utara</t>
  </si>
  <si>
    <t>33. Papua Barat</t>
  </si>
  <si>
    <t>34. Papua Barat Daya</t>
  </si>
  <si>
    <t>35. Papua</t>
  </si>
  <si>
    <t>36. Papua Selatan</t>
  </si>
  <si>
    <t>37. Papua Tengah</t>
  </si>
  <si>
    <t>38. Papua Pegunungan</t>
  </si>
  <si>
    <t>INDONESIA</t>
  </si>
  <si>
    <t xml:space="preserve">Sumber : </t>
  </si>
  <si>
    <t>Badan Pusat Statistik diolah kembali oleh Biro Data dan Sistem Informasi, Kementerian Pariwisata</t>
  </si>
  <si>
    <t>Distribusi (%)</t>
  </si>
  <si>
    <t>Perubahan (%)</t>
  </si>
  <si>
    <t>Mar</t>
  </si>
  <si>
    <t>Apr</t>
  </si>
  <si>
    <t>Mei</t>
  </si>
  <si>
    <t>Jun</t>
  </si>
  <si>
    <t>Jul</t>
  </si>
  <si>
    <t>Jan</t>
  </si>
  <si>
    <t>Feb</t>
  </si>
  <si>
    <t>Agu</t>
  </si>
  <si>
    <t>Sept</t>
  </si>
  <si>
    <t>Okt</t>
  </si>
  <si>
    <t>Nov</t>
  </si>
  <si>
    <t>Des</t>
  </si>
  <si>
    <t xml:space="preserve">Jan-Des 26 
thd Total </t>
  </si>
  <si>
    <t>Jumlah Perjalanan Wisatawan Nusantara Menurut Provinsi Tujuan, Tahun 2025-2026</t>
  </si>
  <si>
    <t>Jan-Mar
2025</t>
  </si>
  <si>
    <t>Jan-Mar
2026</t>
  </si>
  <si>
    <t xml:space="preserve">Mar 26 
thd Total </t>
  </si>
  <si>
    <t>Mar 26 
thd Mar 25</t>
  </si>
  <si>
    <t>Mar 26 
thd Feb 26</t>
  </si>
  <si>
    <t>Jan-Mar 26
thd Jan-Mar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</si>
</sst>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name val="Baguet Script"/>
    </font>
    <font>
      <b/>
      <sz val="9"/>
      <color theme="0"/>
      <name val="Baguet Script"/>
    </font>
    <font>
      <b/>
      <sz val="10"/>
      <color theme="0"/>
      <name val="Baguet Script"/>
    </font>
    <font>
      <sz val="10"/>
      <color theme="1"/>
      <name val="Baguet Script"/>
    </font>
    <font>
      <sz val="11"/>
      <color theme="1"/>
      <name val="Baguet Script"/>
    </font>
    <font>
      <sz val="10"/>
      <name val="Baguet Script"/>
    </font>
    <font>
      <b/>
      <sz val="11"/>
      <color theme="1"/>
      <name val="Baguet Script"/>
    </font>
    <font>
      <sz val="11"/>
      <name val="Baguet Script"/>
    </font>
    <font>
      <b/>
      <sz val="11"/>
      <color theme="0"/>
      <name val="Baguet Script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504BA4"/>
        <bgColor indexed="64"/>
      </patternFill>
    </fill>
    <fill>
      <patternFill patternType="solid">
        <fgColor rgb="FFEDF4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3" fillId="0" borderId="0"/>
  </cellStyleXfs>
  <cellXfs count="49">
    <xf numFmtId="0" fontId="0" fillId="0" borderId="0" xfId="0"/>
    <xf numFmtId="0" fontId="2" fillId="0" borderId="0" xfId="3" applyFont="1" applyAlignment="1">
      <alignment vertical="center"/>
    </xf>
    <xf numFmtId="165" fontId="2" fillId="0" borderId="0" xfId="3" applyNumberFormat="1" applyFont="1" applyAlignment="1">
      <alignment vertical="center"/>
    </xf>
    <xf numFmtId="0" fontId="3" fillId="0" borderId="0" xfId="3" applyFont="1" applyAlignment="1">
      <alignment vertical="center"/>
    </xf>
    <xf numFmtId="3" fontId="4" fillId="0" borderId="0" xfId="2" applyNumberFormat="1" applyFont="1" applyFill="1" applyAlignment="1">
      <alignment vertical="center"/>
    </xf>
    <xf numFmtId="4" fontId="9" fillId="0" borderId="12" xfId="2" applyNumberFormat="1" applyFont="1" applyFill="1" applyBorder="1" applyAlignment="1">
      <alignment horizontal="left" vertical="center" wrapText="1"/>
    </xf>
    <xf numFmtId="165" fontId="7" fillId="0" borderId="3" xfId="1" applyNumberFormat="1" applyFont="1" applyBorder="1" applyAlignment="1">
      <alignment vertical="center"/>
    </xf>
    <xf numFmtId="165" fontId="7" fillId="0" borderId="2" xfId="1" applyNumberFormat="1" applyFont="1" applyBorder="1" applyAlignment="1">
      <alignment vertical="center"/>
    </xf>
    <xf numFmtId="37" fontId="8" fillId="3" borderId="0" xfId="0" applyNumberFormat="1" applyFont="1" applyFill="1" applyAlignment="1">
      <alignment horizontal="left" vertical="center"/>
    </xf>
    <xf numFmtId="37" fontId="8" fillId="3" borderId="0" xfId="0" applyNumberFormat="1" applyFont="1" applyFill="1" applyAlignment="1">
      <alignment horizontal="left" vertical="center" wrapText="1"/>
    </xf>
    <xf numFmtId="165" fontId="6" fillId="4" borderId="14" xfId="1" applyNumberFormat="1" applyFont="1" applyFill="1" applyBorder="1" applyAlignment="1">
      <alignment horizontal="left" vertical="center" wrapText="1"/>
    </xf>
    <xf numFmtId="165" fontId="7" fillId="5" borderId="5" xfId="1" applyNumberFormat="1" applyFont="1" applyFill="1" applyBorder="1" applyAlignment="1">
      <alignment vertical="center"/>
    </xf>
    <xf numFmtId="165" fontId="6" fillId="4" borderId="16" xfId="1" applyNumberFormat="1" applyFont="1" applyFill="1" applyBorder="1" applyAlignment="1">
      <alignment horizontal="left" vertical="center" wrapText="1"/>
    </xf>
    <xf numFmtId="3" fontId="4" fillId="0" borderId="0" xfId="2" applyNumberFormat="1" applyFont="1" applyFill="1" applyAlignment="1">
      <alignment horizontal="center" vertical="center"/>
    </xf>
    <xf numFmtId="0" fontId="8" fillId="0" borderId="0" xfId="3" applyFont="1" applyAlignment="1">
      <alignment vertical="center"/>
    </xf>
    <xf numFmtId="0" fontId="5" fillId="4" borderId="4" xfId="3" applyFont="1" applyFill="1" applyBorder="1" applyAlignment="1">
      <alignment horizontal="center" vertical="center" wrapText="1"/>
    </xf>
    <xf numFmtId="2" fontId="6" fillId="4" borderId="20" xfId="1" applyNumberFormat="1" applyFont="1" applyFill="1" applyBorder="1" applyAlignment="1">
      <alignment horizontal="center" vertical="center" wrapText="1"/>
    </xf>
    <xf numFmtId="4" fontId="12" fillId="4" borderId="13" xfId="2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2" fontId="12" fillId="4" borderId="8" xfId="3" applyNumberFormat="1" applyFont="1" applyFill="1" applyBorder="1" applyAlignment="1">
      <alignment horizontal="center" vertical="center"/>
    </xf>
    <xf numFmtId="165" fontId="7" fillId="2" borderId="5" xfId="1" applyNumberFormat="1" applyFont="1" applyFill="1" applyBorder="1" applyAlignment="1">
      <alignment vertical="center"/>
    </xf>
    <xf numFmtId="165" fontId="7" fillId="2" borderId="7" xfId="1" applyNumberFormat="1" applyFont="1" applyFill="1" applyBorder="1" applyAlignment="1">
      <alignment vertical="center"/>
    </xf>
    <xf numFmtId="165" fontId="7" fillId="0" borderId="21" xfId="1" applyNumberFormat="1" applyFont="1" applyBorder="1" applyAlignment="1">
      <alignment vertical="center"/>
    </xf>
    <xf numFmtId="165" fontId="7" fillId="0" borderId="22" xfId="1" applyNumberFormat="1" applyFont="1" applyBorder="1" applyAlignment="1">
      <alignment vertical="center"/>
    </xf>
    <xf numFmtId="165" fontId="7" fillId="5" borderId="24" xfId="1" applyNumberFormat="1" applyFont="1" applyFill="1" applyBorder="1" applyAlignment="1">
      <alignment vertical="center"/>
    </xf>
    <xf numFmtId="2" fontId="7" fillId="5" borderId="25" xfId="1" applyNumberFormat="1" applyFont="1" applyFill="1" applyBorder="1" applyAlignment="1">
      <alignment horizontal="center" vertical="center"/>
    </xf>
    <xf numFmtId="2" fontId="7" fillId="5" borderId="0" xfId="1" applyNumberFormat="1" applyFont="1" applyFill="1" applyBorder="1" applyAlignment="1">
      <alignment horizontal="center" vertical="center"/>
    </xf>
    <xf numFmtId="165" fontId="7" fillId="5" borderId="26" xfId="1" applyNumberFormat="1" applyFont="1" applyFill="1" applyBorder="1" applyAlignment="1">
      <alignment vertical="center"/>
    </xf>
    <xf numFmtId="165" fontId="7" fillId="5" borderId="27" xfId="1" applyNumberFormat="1" applyFont="1" applyFill="1" applyBorder="1" applyAlignment="1">
      <alignment vertical="center"/>
    </xf>
    <xf numFmtId="0" fontId="5" fillId="4" borderId="6" xfId="3" applyFont="1" applyFill="1" applyBorder="1" applyAlignment="1">
      <alignment horizontal="center" vertical="center" wrapText="1"/>
    </xf>
    <xf numFmtId="2" fontId="6" fillId="4" borderId="16" xfId="1" applyNumberFormat="1" applyFont="1" applyFill="1" applyBorder="1" applyAlignment="1">
      <alignment horizontal="center" vertical="center" wrapText="1"/>
    </xf>
    <xf numFmtId="2" fontId="7" fillId="5" borderId="26" xfId="1" applyNumberFormat="1" applyFont="1" applyFill="1" applyBorder="1" applyAlignment="1">
      <alignment horizontal="center" vertical="center"/>
    </xf>
    <xf numFmtId="2" fontId="7" fillId="5" borderId="27" xfId="1" applyNumberFormat="1" applyFont="1" applyFill="1" applyBorder="1" applyAlignment="1">
      <alignment horizontal="center" vertical="center"/>
    </xf>
    <xf numFmtId="2" fontId="8" fillId="5" borderId="28" xfId="3" applyNumberFormat="1" applyFont="1" applyFill="1" applyBorder="1" applyAlignment="1">
      <alignment horizontal="center" vertical="center"/>
    </xf>
    <xf numFmtId="2" fontId="8" fillId="5" borderId="29" xfId="3" applyNumberFormat="1" applyFont="1" applyFill="1" applyBorder="1" applyAlignment="1">
      <alignment horizontal="center" vertical="center"/>
    </xf>
    <xf numFmtId="165" fontId="7" fillId="5" borderId="23" xfId="1" applyNumberFormat="1" applyFont="1" applyFill="1" applyBorder="1" applyAlignment="1">
      <alignment vertical="center"/>
    </xf>
    <xf numFmtId="0" fontId="5" fillId="4" borderId="18" xfId="3" applyFont="1" applyFill="1" applyBorder="1" applyAlignment="1">
      <alignment horizontal="center" vertical="center" wrapText="1"/>
    </xf>
    <xf numFmtId="0" fontId="5" fillId="4" borderId="19" xfId="3" applyFont="1" applyFill="1" applyBorder="1" applyAlignment="1">
      <alignment horizontal="center" vertical="center" wrapText="1"/>
    </xf>
    <xf numFmtId="0" fontId="5" fillId="4" borderId="17" xfId="3" applyFont="1" applyFill="1" applyBorder="1" applyAlignment="1">
      <alignment horizontal="center" vertical="center" wrapText="1"/>
    </xf>
    <xf numFmtId="37" fontId="10" fillId="3" borderId="0" xfId="0" applyNumberFormat="1" applyFont="1" applyFill="1" applyAlignment="1">
      <alignment horizontal="left" vertical="center" wrapText="1"/>
    </xf>
    <xf numFmtId="0" fontId="11" fillId="0" borderId="0" xfId="0" applyFont="1"/>
    <xf numFmtId="0" fontId="6" fillId="4" borderId="10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4" fontId="6" fillId="4" borderId="9" xfId="2" applyNumberFormat="1" applyFont="1" applyFill="1" applyBorder="1" applyAlignment="1">
      <alignment horizontal="center" vertical="center" wrapText="1"/>
    </xf>
    <xf numFmtId="4" fontId="6" fillId="4" borderId="11" xfId="2" applyNumberFormat="1" applyFont="1" applyFill="1" applyBorder="1" applyAlignment="1">
      <alignment horizontal="center" vertical="center" wrapText="1"/>
    </xf>
    <xf numFmtId="0" fontId="6" fillId="4" borderId="10" xfId="3" applyFont="1" applyFill="1" applyBorder="1" applyAlignment="1">
      <alignment horizontal="center" vertical="center" wrapText="1"/>
    </xf>
    <xf numFmtId="0" fontId="6" fillId="4" borderId="3" xfId="3" applyFont="1" applyFill="1" applyBorder="1" applyAlignment="1">
      <alignment horizontal="center" vertical="center"/>
    </xf>
    <xf numFmtId="0" fontId="5" fillId="4" borderId="15" xfId="3" applyFont="1" applyFill="1" applyBorder="1" applyAlignment="1">
      <alignment horizontal="center" vertical="center" wrapText="1"/>
    </xf>
    <xf numFmtId="165" fontId="7" fillId="5" borderId="30" xfId="1" applyNumberFormat="1" applyFont="1" applyFill="1" applyBorder="1" applyAlignment="1">
      <alignment vertical="center"/>
    </xf>
  </cellXfs>
  <cellStyles count="5">
    <cellStyle name="Comma" xfId="1" builtinId="3"/>
    <cellStyle name="Comma [0] 9 2" xfId="2" xr:uid="{3BA6B63F-E947-4CC6-8679-4F2085E8F019}"/>
    <cellStyle name="Normal" xfId="0" builtinId="0"/>
    <cellStyle name="Normal 2" xfId="4" xr:uid="{459A7DB9-0872-49BB-8585-E5AE489A89CD}"/>
    <cellStyle name="Normal 4" xfId="3" xr:uid="{4D246204-05E2-4855-BB92-8271D4C8CF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38E7-CC17-4D18-A1C2-B11091594E55}">
  <sheetPr>
    <pageSetUpPr fitToPage="1"/>
  </sheetPr>
  <dimension ref="B1:AO46"/>
  <sheetViews>
    <sheetView showGridLines="0" tabSelected="1" zoomScaleNormal="100" workbookViewId="0">
      <pane xSplit="2" ySplit="4" topLeftCell="D29" activePane="bottomRight" state="frozen"/>
      <selection activeCell="AM40" sqref="AM40"/>
      <selection pane="topRight" activeCell="AM40" sqref="AM40"/>
      <selection pane="bottomLeft" activeCell="AM40" sqref="AM40"/>
      <selection pane="bottomRight" activeCell="R30" sqref="R30"/>
    </sheetView>
  </sheetViews>
  <sheetFormatPr defaultColWidth="9.08984375" defaultRowHeight="15.5" x14ac:dyDescent="0.35"/>
  <cols>
    <col min="1" max="1" width="1.81640625" style="1" customWidth="1"/>
    <col min="2" max="2" width="27.453125" style="1" customWidth="1"/>
    <col min="3" max="3" width="12.453125" style="1" hidden="1" customWidth="1"/>
    <col min="4" max="5" width="11.6328125" style="1" customWidth="1"/>
    <col min="6" max="13" width="11.6328125" style="1" hidden="1" customWidth="1"/>
    <col min="14" max="14" width="12.08984375" style="1" hidden="1" customWidth="1"/>
    <col min="15" max="15" width="13.81640625" style="1" hidden="1" customWidth="1"/>
    <col min="16" max="16" width="14.6328125" style="1" customWidth="1"/>
    <col min="17" max="17" width="12.453125" style="1" hidden="1" customWidth="1"/>
    <col min="18" max="19" width="11.6328125" style="1" customWidth="1"/>
    <col min="20" max="20" width="12.453125" style="1" hidden="1" customWidth="1"/>
    <col min="21" max="27" width="11.6328125" style="1" hidden="1" customWidth="1"/>
    <col min="28" max="28" width="12.453125" style="1" hidden="1" customWidth="1"/>
    <col min="29" max="29" width="14.08984375" style="1" hidden="1" customWidth="1"/>
    <col min="30" max="30" width="14.453125" style="1" customWidth="1"/>
    <col min="31" max="31" width="13.1796875" style="14" customWidth="1"/>
    <col min="32" max="32" width="1.453125" style="14" hidden="1" customWidth="1"/>
    <col min="33" max="35" width="12.453125" style="14" customWidth="1"/>
    <col min="36" max="36" width="2.6328125" style="1" customWidth="1"/>
    <col min="37" max="16384" width="9.08984375" style="1"/>
  </cols>
  <sheetData>
    <row r="1" spans="2:41" ht="19" x14ac:dyDescent="0.35">
      <c r="B1" s="4" t="s">
        <v>57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13"/>
      <c r="AF1" s="13"/>
      <c r="AG1" s="13"/>
      <c r="AH1" s="13"/>
    </row>
    <row r="2" spans="2:41" ht="16" thickBot="1" x14ac:dyDescent="0.4">
      <c r="O2" s="2"/>
      <c r="P2" s="2"/>
      <c r="AC2" s="2"/>
      <c r="AD2" s="2"/>
    </row>
    <row r="3" spans="2:41" s="3" customFormat="1" ht="20.25" customHeight="1" thickTop="1" thickBot="1" x14ac:dyDescent="0.4">
      <c r="B3" s="43" t="s">
        <v>0</v>
      </c>
      <c r="C3" s="41">
        <v>2025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>
        <v>2025</v>
      </c>
      <c r="P3" s="45" t="s">
        <v>58</v>
      </c>
      <c r="Q3" s="41">
        <v>2026</v>
      </c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>
        <v>2026</v>
      </c>
      <c r="AD3" s="45" t="s">
        <v>59</v>
      </c>
      <c r="AE3" s="47" t="s">
        <v>42</v>
      </c>
      <c r="AF3" s="38"/>
      <c r="AG3" s="36" t="s">
        <v>43</v>
      </c>
      <c r="AH3" s="37"/>
      <c r="AI3" s="38"/>
    </row>
    <row r="4" spans="2:41" s="3" customFormat="1" ht="33" customHeight="1" thickBot="1" x14ac:dyDescent="0.4">
      <c r="B4" s="44"/>
      <c r="C4" s="18" t="s">
        <v>49</v>
      </c>
      <c r="D4" s="18" t="s">
        <v>50</v>
      </c>
      <c r="E4" s="18" t="s">
        <v>44</v>
      </c>
      <c r="F4" s="18" t="s">
        <v>45</v>
      </c>
      <c r="G4" s="18" t="s">
        <v>46</v>
      </c>
      <c r="H4" s="18" t="s">
        <v>47</v>
      </c>
      <c r="I4" s="18" t="s">
        <v>48</v>
      </c>
      <c r="J4" s="18" t="s">
        <v>51</v>
      </c>
      <c r="K4" s="18" t="s">
        <v>52</v>
      </c>
      <c r="L4" s="18" t="s">
        <v>53</v>
      </c>
      <c r="M4" s="18" t="s">
        <v>54</v>
      </c>
      <c r="N4" s="18" t="s">
        <v>55</v>
      </c>
      <c r="O4" s="42"/>
      <c r="P4" s="46"/>
      <c r="Q4" s="18" t="s">
        <v>49</v>
      </c>
      <c r="R4" s="18" t="s">
        <v>50</v>
      </c>
      <c r="S4" s="18" t="s">
        <v>44</v>
      </c>
      <c r="T4" s="18" t="s">
        <v>45</v>
      </c>
      <c r="U4" s="18" t="s">
        <v>46</v>
      </c>
      <c r="V4" s="18" t="s">
        <v>47</v>
      </c>
      <c r="W4" s="18" t="s">
        <v>48</v>
      </c>
      <c r="X4" s="18" t="s">
        <v>51</v>
      </c>
      <c r="Y4" s="18" t="s">
        <v>52</v>
      </c>
      <c r="Z4" s="18" t="s">
        <v>53</v>
      </c>
      <c r="AA4" s="18" t="s">
        <v>54</v>
      </c>
      <c r="AB4" s="18" t="s">
        <v>55</v>
      </c>
      <c r="AC4" s="42"/>
      <c r="AD4" s="46"/>
      <c r="AE4" s="29" t="s">
        <v>60</v>
      </c>
      <c r="AF4" s="15" t="s">
        <v>56</v>
      </c>
      <c r="AG4" s="29" t="s">
        <v>61</v>
      </c>
      <c r="AH4" s="29" t="s">
        <v>62</v>
      </c>
      <c r="AI4" s="15" t="s">
        <v>63</v>
      </c>
    </row>
    <row r="5" spans="2:41" x14ac:dyDescent="0.35">
      <c r="B5" s="5" t="s">
        <v>1</v>
      </c>
      <c r="C5" s="22">
        <v>1914909</v>
      </c>
      <c r="D5" s="6">
        <v>1557187</v>
      </c>
      <c r="E5" s="6">
        <v>1389908</v>
      </c>
      <c r="F5" s="6">
        <v>2441257</v>
      </c>
      <c r="G5" s="6">
        <v>1549593</v>
      </c>
      <c r="H5" s="6">
        <v>1910319</v>
      </c>
      <c r="I5" s="7">
        <v>1626932</v>
      </c>
      <c r="J5" s="7">
        <v>1449443</v>
      </c>
      <c r="K5" s="7">
        <v>1432354</v>
      </c>
      <c r="L5" s="7">
        <v>1494792</v>
      </c>
      <c r="M5" s="6">
        <v>1537601</v>
      </c>
      <c r="N5" s="6">
        <v>1792055</v>
      </c>
      <c r="O5" s="20">
        <v>12924997</v>
      </c>
      <c r="P5" s="35">
        <f>SUM(C5:E5)</f>
        <v>4862004</v>
      </c>
      <c r="Q5" s="22">
        <v>1515377</v>
      </c>
      <c r="R5" s="22">
        <v>1469012</v>
      </c>
      <c r="S5" s="22">
        <v>2263684</v>
      </c>
      <c r="T5" s="6"/>
      <c r="U5" s="6"/>
      <c r="V5" s="6"/>
      <c r="W5" s="7"/>
      <c r="X5" s="7"/>
      <c r="Y5" s="7"/>
      <c r="Z5" s="7"/>
      <c r="AA5" s="6"/>
      <c r="AB5" s="6"/>
      <c r="AC5" s="11">
        <f>SUM(Q5:AB5)</f>
        <v>5248073</v>
      </c>
      <c r="AD5" s="27">
        <f>SUM(Q5:AB5)</f>
        <v>5248073</v>
      </c>
      <c r="AE5" s="31">
        <f>S5/$S$43*100</f>
        <v>1.7917419338947114</v>
      </c>
      <c r="AF5" s="25">
        <f>AD5/$AD$43*100</f>
        <v>1.6425205113155321</v>
      </c>
      <c r="AG5" s="31">
        <f>(S5-E5)/E5*100</f>
        <v>62.865743631952618</v>
      </c>
      <c r="AH5" s="31">
        <f>(S5-R5)/R5*100</f>
        <v>54.095677911412565</v>
      </c>
      <c r="AI5" s="33">
        <f>(AD5-P5)/P5*100</f>
        <v>7.9405323401626164</v>
      </c>
    </row>
    <row r="6" spans="2:41" x14ac:dyDescent="0.35">
      <c r="B6" s="5" t="s">
        <v>2</v>
      </c>
      <c r="C6" s="23">
        <v>4273527</v>
      </c>
      <c r="D6" s="7">
        <v>4027647</v>
      </c>
      <c r="E6" s="7">
        <v>3990374</v>
      </c>
      <c r="F6" s="7">
        <v>6099447</v>
      </c>
      <c r="G6" s="7">
        <v>5118791</v>
      </c>
      <c r="H6" s="7">
        <v>5411686</v>
      </c>
      <c r="I6" s="7">
        <v>5119811</v>
      </c>
      <c r="J6" s="7">
        <v>4649397</v>
      </c>
      <c r="K6" s="7">
        <v>4463504</v>
      </c>
      <c r="L6" s="7">
        <v>4495630</v>
      </c>
      <c r="M6" s="7">
        <v>4579355</v>
      </c>
      <c r="N6" s="7">
        <v>4681093</v>
      </c>
      <c r="O6" s="21">
        <v>42766198</v>
      </c>
      <c r="P6" s="24">
        <f t="shared" ref="P6:P42" si="0">SUM(C6:E6)</f>
        <v>12291548</v>
      </c>
      <c r="Q6" s="23">
        <v>5203604</v>
      </c>
      <c r="R6" s="23">
        <v>4427868</v>
      </c>
      <c r="S6" s="23">
        <v>6429013</v>
      </c>
      <c r="T6" s="7"/>
      <c r="U6" s="7"/>
      <c r="V6" s="7"/>
      <c r="W6" s="7"/>
      <c r="X6" s="7"/>
      <c r="Y6" s="7"/>
      <c r="Z6" s="7"/>
      <c r="AA6" s="7"/>
      <c r="AB6" s="7"/>
      <c r="AC6" s="7">
        <f t="shared" ref="AC6:AC42" si="1">SUM(Q6:AB6)</f>
        <v>16060485</v>
      </c>
      <c r="AD6" s="28">
        <f>SUM(Q6:AB6)</f>
        <v>16060485</v>
      </c>
      <c r="AE6" s="32">
        <f>S6/$S$43*100</f>
        <v>5.088666167916652</v>
      </c>
      <c r="AF6" s="26">
        <f t="shared" ref="AF6:AF42" si="2">AD6/$AD$43*100</f>
        <v>5.0265451784255726</v>
      </c>
      <c r="AG6" s="32">
        <f t="shared" ref="AG6:AG42" si="3">(S6-E6)/E6*100</f>
        <v>61.113043539277271</v>
      </c>
      <c r="AH6" s="32">
        <f t="shared" ref="AH6:AH43" si="4">(S6-R6)/R6*100</f>
        <v>45.19432376936259</v>
      </c>
      <c r="AI6" s="34">
        <f>(AD6-P6)/P6*100</f>
        <v>30.66283433136331</v>
      </c>
    </row>
    <row r="7" spans="2:41" x14ac:dyDescent="0.35">
      <c r="B7" s="5" t="s">
        <v>3</v>
      </c>
      <c r="C7" s="23">
        <v>2007861</v>
      </c>
      <c r="D7" s="7">
        <v>1627328</v>
      </c>
      <c r="E7" s="7">
        <v>1640903</v>
      </c>
      <c r="F7" s="7">
        <v>2985230</v>
      </c>
      <c r="G7" s="7">
        <v>1763365</v>
      </c>
      <c r="H7" s="7">
        <v>2005118</v>
      </c>
      <c r="I7" s="7">
        <v>1938129</v>
      </c>
      <c r="J7" s="7">
        <v>1650657</v>
      </c>
      <c r="K7" s="7">
        <v>1682017</v>
      </c>
      <c r="L7" s="7">
        <v>1661426</v>
      </c>
      <c r="M7" s="7">
        <v>1666644</v>
      </c>
      <c r="N7" s="7">
        <v>1674130</v>
      </c>
      <c r="O7" s="21">
        <v>19142418</v>
      </c>
      <c r="P7" s="24">
        <f t="shared" si="0"/>
        <v>5276092</v>
      </c>
      <c r="Q7" s="23">
        <v>1690551</v>
      </c>
      <c r="R7" s="23">
        <v>1687690</v>
      </c>
      <c r="S7" s="23">
        <v>2796192</v>
      </c>
      <c r="T7" s="7"/>
      <c r="U7" s="7"/>
      <c r="V7" s="7"/>
      <c r="W7" s="7"/>
      <c r="X7" s="7"/>
      <c r="Y7" s="7"/>
      <c r="Z7" s="7"/>
      <c r="AA7" s="7"/>
      <c r="AB7" s="7"/>
      <c r="AC7" s="7">
        <f t="shared" si="1"/>
        <v>6174433</v>
      </c>
      <c r="AD7" s="28">
        <f t="shared" ref="AD7:AD42" si="5">SUM(Q7:AB7)</f>
        <v>6174433</v>
      </c>
      <c r="AE7" s="32">
        <f t="shared" ref="AE7:AE42" si="6">S7/$S$43*100</f>
        <v>2.2132304957851541</v>
      </c>
      <c r="AF7" s="26">
        <f t="shared" si="2"/>
        <v>1.9324488909059561</v>
      </c>
      <c r="AG7" s="32">
        <f t="shared" si="3"/>
        <v>70.405685162377054</v>
      </c>
      <c r="AH7" s="32">
        <f t="shared" si="4"/>
        <v>65.681612144410408</v>
      </c>
      <c r="AI7" s="34">
        <f t="shared" ref="AI7:AI41" si="7">(AD7-P7)/P7*100</f>
        <v>17.026636381624886</v>
      </c>
    </row>
    <row r="8" spans="2:41" x14ac:dyDescent="0.35">
      <c r="B8" s="5" t="s">
        <v>4</v>
      </c>
      <c r="C8" s="23">
        <v>1939838</v>
      </c>
      <c r="D8" s="7">
        <v>1663417</v>
      </c>
      <c r="E8" s="7">
        <v>1660146</v>
      </c>
      <c r="F8" s="7">
        <v>2557547</v>
      </c>
      <c r="G8" s="7">
        <v>1946362</v>
      </c>
      <c r="H8" s="7">
        <v>2192594</v>
      </c>
      <c r="I8" s="7">
        <v>2109928</v>
      </c>
      <c r="J8" s="7">
        <v>2005739</v>
      </c>
      <c r="K8" s="7">
        <v>1902222</v>
      </c>
      <c r="L8" s="7">
        <v>1992223</v>
      </c>
      <c r="M8" s="7">
        <v>1945734</v>
      </c>
      <c r="N8" s="7">
        <v>2010421</v>
      </c>
      <c r="O8" s="21">
        <v>17992224</v>
      </c>
      <c r="P8" s="24">
        <f t="shared" si="0"/>
        <v>5263401</v>
      </c>
      <c r="Q8" s="23">
        <v>2060155</v>
      </c>
      <c r="R8" s="23">
        <v>1889747</v>
      </c>
      <c r="S8" s="23">
        <v>2555647</v>
      </c>
      <c r="T8" s="7"/>
      <c r="U8" s="7"/>
      <c r="V8" s="7"/>
      <c r="W8" s="7"/>
      <c r="X8" s="7"/>
      <c r="Y8" s="7"/>
      <c r="Z8" s="7"/>
      <c r="AA8" s="7"/>
      <c r="AB8" s="7"/>
      <c r="AC8" s="7">
        <f t="shared" si="1"/>
        <v>6505549</v>
      </c>
      <c r="AD8" s="28">
        <f t="shared" si="5"/>
        <v>6505549</v>
      </c>
      <c r="AE8" s="32">
        <f t="shared" si="6"/>
        <v>2.0228352977412998</v>
      </c>
      <c r="AF8" s="26">
        <f t="shared" si="2"/>
        <v>2.0360802278985539</v>
      </c>
      <c r="AG8" s="32">
        <f t="shared" si="3"/>
        <v>53.94109915633927</v>
      </c>
      <c r="AH8" s="32">
        <f t="shared" si="4"/>
        <v>35.237521213157102</v>
      </c>
      <c r="AI8" s="34">
        <f t="shared" si="7"/>
        <v>23.599721928844104</v>
      </c>
    </row>
    <row r="9" spans="2:41" x14ac:dyDescent="0.35">
      <c r="B9" s="5" t="s">
        <v>5</v>
      </c>
      <c r="C9" s="23">
        <v>861979</v>
      </c>
      <c r="D9" s="7">
        <v>759993</v>
      </c>
      <c r="E9" s="7">
        <v>739857</v>
      </c>
      <c r="F9" s="7">
        <v>1238734</v>
      </c>
      <c r="G9" s="7">
        <v>947569</v>
      </c>
      <c r="H9" s="7">
        <v>986557</v>
      </c>
      <c r="I9" s="7">
        <v>914371</v>
      </c>
      <c r="J9" s="7">
        <v>869821</v>
      </c>
      <c r="K9" s="7">
        <v>853146</v>
      </c>
      <c r="L9" s="7">
        <v>888169</v>
      </c>
      <c r="M9" s="7">
        <v>883052</v>
      </c>
      <c r="N9" s="7">
        <v>934235</v>
      </c>
      <c r="O9" s="21">
        <v>8534569</v>
      </c>
      <c r="P9" s="24">
        <f t="shared" si="0"/>
        <v>2361829</v>
      </c>
      <c r="Q9" s="23">
        <v>923147</v>
      </c>
      <c r="R9" s="23">
        <v>818339</v>
      </c>
      <c r="S9" s="23">
        <v>1174217</v>
      </c>
      <c r="T9" s="7"/>
      <c r="U9" s="7"/>
      <c r="V9" s="7"/>
      <c r="W9" s="7"/>
      <c r="X9" s="7"/>
      <c r="Y9" s="7"/>
      <c r="Z9" s="7"/>
      <c r="AA9" s="7"/>
      <c r="AB9" s="7"/>
      <c r="AC9" s="7">
        <f t="shared" si="1"/>
        <v>2915703</v>
      </c>
      <c r="AD9" s="28">
        <f t="shared" si="5"/>
        <v>2915703</v>
      </c>
      <c r="AE9" s="32">
        <f t="shared" si="6"/>
        <v>0.92941145424540095</v>
      </c>
      <c r="AF9" s="26">
        <f t="shared" si="2"/>
        <v>0.91254484882436482</v>
      </c>
      <c r="AG9" s="32">
        <f t="shared" si="3"/>
        <v>58.708642345750597</v>
      </c>
      <c r="AH9" s="32">
        <f t="shared" si="4"/>
        <v>43.487845501680845</v>
      </c>
      <c r="AI9" s="34">
        <f t="shared" si="7"/>
        <v>23.45106271453183</v>
      </c>
    </row>
    <row r="10" spans="2:41" x14ac:dyDescent="0.35">
      <c r="B10" s="5" t="s">
        <v>6</v>
      </c>
      <c r="C10" s="23">
        <v>2066307</v>
      </c>
      <c r="D10" s="7">
        <v>1943454</v>
      </c>
      <c r="E10" s="7">
        <v>1811327</v>
      </c>
      <c r="F10" s="7">
        <v>2951323</v>
      </c>
      <c r="G10" s="7">
        <v>2122405</v>
      </c>
      <c r="H10" s="7">
        <v>2418231</v>
      </c>
      <c r="I10" s="7">
        <v>2234581</v>
      </c>
      <c r="J10" s="7">
        <v>2104661</v>
      </c>
      <c r="K10" s="7">
        <v>2084412</v>
      </c>
      <c r="L10" s="7">
        <v>2110609</v>
      </c>
      <c r="M10" s="7">
        <v>2077790</v>
      </c>
      <c r="N10" s="7">
        <v>2140416</v>
      </c>
      <c r="O10" s="21">
        <v>18143118</v>
      </c>
      <c r="P10" s="24">
        <f t="shared" si="0"/>
        <v>5821088</v>
      </c>
      <c r="Q10" s="23">
        <v>2093121</v>
      </c>
      <c r="R10" s="23">
        <v>1860610</v>
      </c>
      <c r="S10" s="23">
        <v>2779335</v>
      </c>
      <c r="T10" s="7"/>
      <c r="U10" s="7"/>
      <c r="V10" s="7"/>
      <c r="W10" s="7"/>
      <c r="X10" s="7"/>
      <c r="Y10" s="7"/>
      <c r="Z10" s="7"/>
      <c r="AA10" s="7"/>
      <c r="AB10" s="7"/>
      <c r="AC10" s="7">
        <f t="shared" si="1"/>
        <v>6733066</v>
      </c>
      <c r="AD10" s="28">
        <f t="shared" si="5"/>
        <v>6733066</v>
      </c>
      <c r="AE10" s="32">
        <f t="shared" si="6"/>
        <v>2.1998879118469086</v>
      </c>
      <c r="AF10" s="26">
        <f t="shared" si="2"/>
        <v>2.1072875718461277</v>
      </c>
      <c r="AG10" s="32">
        <f t="shared" si="3"/>
        <v>53.441924070032634</v>
      </c>
      <c r="AH10" s="32">
        <f t="shared" si="4"/>
        <v>49.377623467572462</v>
      </c>
      <c r="AI10" s="34">
        <f t="shared" si="7"/>
        <v>15.666796310243033</v>
      </c>
    </row>
    <row r="11" spans="2:41" x14ac:dyDescent="0.35">
      <c r="B11" s="5" t="s">
        <v>7</v>
      </c>
      <c r="C11" s="23">
        <v>641184</v>
      </c>
      <c r="D11" s="7">
        <v>500687</v>
      </c>
      <c r="E11" s="7">
        <v>467356</v>
      </c>
      <c r="F11" s="7">
        <v>790208</v>
      </c>
      <c r="G11" s="7">
        <v>573874</v>
      </c>
      <c r="H11" s="7">
        <v>668921</v>
      </c>
      <c r="I11" s="7">
        <v>683082</v>
      </c>
      <c r="J11" s="7">
        <v>564136</v>
      </c>
      <c r="K11" s="7">
        <v>579056</v>
      </c>
      <c r="L11" s="7">
        <v>568844</v>
      </c>
      <c r="M11" s="7">
        <v>554538</v>
      </c>
      <c r="N11" s="7">
        <v>619895</v>
      </c>
      <c r="O11" s="21">
        <v>4571903</v>
      </c>
      <c r="P11" s="24">
        <f t="shared" si="0"/>
        <v>1609227</v>
      </c>
      <c r="Q11" s="23">
        <v>624011</v>
      </c>
      <c r="R11" s="23">
        <v>509672</v>
      </c>
      <c r="S11" s="23">
        <v>809588</v>
      </c>
      <c r="T11" s="7"/>
      <c r="U11" s="7"/>
      <c r="V11" s="7"/>
      <c r="W11" s="7"/>
      <c r="X11" s="7"/>
      <c r="Y11" s="7"/>
      <c r="Z11" s="7"/>
      <c r="AA11" s="7"/>
      <c r="AB11" s="7"/>
      <c r="AC11" s="7">
        <f t="shared" si="1"/>
        <v>1943271</v>
      </c>
      <c r="AD11" s="28">
        <f t="shared" si="5"/>
        <v>1943271</v>
      </c>
      <c r="AE11" s="32">
        <f t="shared" si="6"/>
        <v>0.64080179423362604</v>
      </c>
      <c r="AF11" s="26">
        <f t="shared" si="2"/>
        <v>0.60819704233242278</v>
      </c>
      <c r="AG11" s="32">
        <f t="shared" si="3"/>
        <v>73.227261445236607</v>
      </c>
      <c r="AH11" s="32">
        <f t="shared" si="4"/>
        <v>58.844904173664638</v>
      </c>
      <c r="AI11" s="34">
        <f t="shared" si="7"/>
        <v>20.758040972466905</v>
      </c>
    </row>
    <row r="12" spans="2:41" x14ac:dyDescent="0.35">
      <c r="B12" s="5" t="s">
        <v>8</v>
      </c>
      <c r="C12" s="23">
        <v>2222813</v>
      </c>
      <c r="D12" s="7">
        <v>1789402</v>
      </c>
      <c r="E12" s="7">
        <v>1661838</v>
      </c>
      <c r="F12" s="7">
        <v>2992879</v>
      </c>
      <c r="G12" s="7">
        <v>2309209</v>
      </c>
      <c r="H12" s="7">
        <v>2619503</v>
      </c>
      <c r="I12" s="7">
        <v>2301590</v>
      </c>
      <c r="J12" s="7">
        <v>2211846</v>
      </c>
      <c r="K12" s="7">
        <v>2159343</v>
      </c>
      <c r="L12" s="7">
        <v>2237236</v>
      </c>
      <c r="M12" s="7">
        <v>2197005</v>
      </c>
      <c r="N12" s="7">
        <v>2388116</v>
      </c>
      <c r="O12" s="21">
        <v>17875613</v>
      </c>
      <c r="P12" s="24">
        <f t="shared" si="0"/>
        <v>5674053</v>
      </c>
      <c r="Q12" s="23">
        <v>2276319</v>
      </c>
      <c r="R12" s="23">
        <v>1937069</v>
      </c>
      <c r="S12" s="23">
        <v>2910547</v>
      </c>
      <c r="T12" s="7"/>
      <c r="U12" s="7"/>
      <c r="V12" s="7"/>
      <c r="W12" s="7"/>
      <c r="X12" s="7"/>
      <c r="Y12" s="7"/>
      <c r="Z12" s="7"/>
      <c r="AA12" s="7"/>
      <c r="AB12" s="7"/>
      <c r="AC12" s="7">
        <f t="shared" si="1"/>
        <v>7123935</v>
      </c>
      <c r="AD12" s="28">
        <f t="shared" si="5"/>
        <v>7123935</v>
      </c>
      <c r="AE12" s="32">
        <f t="shared" si="6"/>
        <v>2.3037442993242214</v>
      </c>
      <c r="AF12" s="26">
        <f t="shared" si="2"/>
        <v>2.2296201593953846</v>
      </c>
      <c r="AG12" s="32">
        <f t="shared" si="3"/>
        <v>75.140236292586877</v>
      </c>
      <c r="AH12" s="32">
        <f t="shared" si="4"/>
        <v>50.255205157895766</v>
      </c>
      <c r="AI12" s="34">
        <f t="shared" si="7"/>
        <v>25.55284555854519</v>
      </c>
    </row>
    <row r="13" spans="2:41" ht="15" customHeight="1" x14ac:dyDescent="0.35">
      <c r="B13" s="5" t="s">
        <v>9</v>
      </c>
      <c r="C13" s="23">
        <v>358579</v>
      </c>
      <c r="D13" s="7">
        <v>290178</v>
      </c>
      <c r="E13" s="7">
        <v>286169</v>
      </c>
      <c r="F13" s="7">
        <v>507560</v>
      </c>
      <c r="G13" s="7">
        <v>383694</v>
      </c>
      <c r="H13" s="7">
        <v>431013</v>
      </c>
      <c r="I13" s="7">
        <v>398321</v>
      </c>
      <c r="J13" s="7">
        <v>356595</v>
      </c>
      <c r="K13" s="7">
        <v>376196</v>
      </c>
      <c r="L13" s="7">
        <v>355399</v>
      </c>
      <c r="M13" s="7">
        <v>373308</v>
      </c>
      <c r="N13" s="7">
        <v>394207</v>
      </c>
      <c r="O13" s="21">
        <v>3144851</v>
      </c>
      <c r="P13" s="24">
        <f t="shared" si="0"/>
        <v>934926</v>
      </c>
      <c r="Q13" s="23">
        <v>386526</v>
      </c>
      <c r="R13" s="23">
        <v>360809</v>
      </c>
      <c r="S13" s="23">
        <v>467604</v>
      </c>
      <c r="T13" s="7"/>
      <c r="U13" s="7"/>
      <c r="V13" s="7"/>
      <c r="W13" s="7"/>
      <c r="X13" s="7"/>
      <c r="Y13" s="7"/>
      <c r="Z13" s="7"/>
      <c r="AA13" s="7"/>
      <c r="AB13" s="7"/>
      <c r="AC13" s="7">
        <f t="shared" si="1"/>
        <v>1214939</v>
      </c>
      <c r="AD13" s="28">
        <f t="shared" si="5"/>
        <v>1214939</v>
      </c>
      <c r="AE13" s="32">
        <f t="shared" si="6"/>
        <v>0.37011601233074165</v>
      </c>
      <c r="AF13" s="26">
        <f t="shared" si="2"/>
        <v>0.38024665958289472</v>
      </c>
      <c r="AG13" s="32">
        <f t="shared" si="3"/>
        <v>63.401346756636812</v>
      </c>
      <c r="AH13" s="32">
        <f t="shared" si="4"/>
        <v>29.598762780307585</v>
      </c>
      <c r="AI13" s="34">
        <f t="shared" si="7"/>
        <v>29.950284835377346</v>
      </c>
    </row>
    <row r="14" spans="2:41" x14ac:dyDescent="0.35">
      <c r="B14" s="5" t="s">
        <v>10</v>
      </c>
      <c r="C14" s="23">
        <v>334449</v>
      </c>
      <c r="D14" s="7">
        <v>282200</v>
      </c>
      <c r="E14" s="7">
        <v>274276</v>
      </c>
      <c r="F14" s="7">
        <v>483261</v>
      </c>
      <c r="G14" s="7">
        <v>343602</v>
      </c>
      <c r="H14" s="7">
        <v>381055</v>
      </c>
      <c r="I14" s="7">
        <v>401830</v>
      </c>
      <c r="J14" s="7">
        <v>345268</v>
      </c>
      <c r="K14" s="7">
        <v>339873</v>
      </c>
      <c r="L14" s="7">
        <v>360000</v>
      </c>
      <c r="M14" s="7">
        <v>370362</v>
      </c>
      <c r="N14" s="7">
        <v>378494</v>
      </c>
      <c r="O14" s="21">
        <v>3491947</v>
      </c>
      <c r="P14" s="24">
        <f t="shared" si="0"/>
        <v>890925</v>
      </c>
      <c r="Q14" s="23">
        <v>379169</v>
      </c>
      <c r="R14" s="23">
        <v>342470</v>
      </c>
      <c r="S14" s="23">
        <v>470304</v>
      </c>
      <c r="T14" s="7"/>
      <c r="U14" s="7"/>
      <c r="V14" s="7"/>
      <c r="W14" s="7"/>
      <c r="X14" s="7"/>
      <c r="Y14" s="7"/>
      <c r="Z14" s="7"/>
      <c r="AA14" s="7"/>
      <c r="AB14" s="7"/>
      <c r="AC14" s="7">
        <f t="shared" si="1"/>
        <v>1191943</v>
      </c>
      <c r="AD14" s="28">
        <f t="shared" si="5"/>
        <v>1191943</v>
      </c>
      <c r="AE14" s="32">
        <f t="shared" si="6"/>
        <v>0.37225310532672329</v>
      </c>
      <c r="AF14" s="26">
        <f t="shared" si="2"/>
        <v>0.37304946516920956</v>
      </c>
      <c r="AG14" s="32">
        <f t="shared" si="3"/>
        <v>71.471072933833071</v>
      </c>
      <c r="AH14" s="32">
        <f t="shared" si="4"/>
        <v>37.327065144392208</v>
      </c>
      <c r="AI14" s="34">
        <f>(AD14-P14)/P14*100</f>
        <v>33.787131352246263</v>
      </c>
      <c r="AK14" s="2"/>
      <c r="AL14" s="2"/>
      <c r="AM14" s="2"/>
      <c r="AN14" s="2"/>
      <c r="AO14" s="2"/>
    </row>
    <row r="15" spans="2:41" x14ac:dyDescent="0.35">
      <c r="B15" s="5" t="s">
        <v>11</v>
      </c>
      <c r="C15" s="23">
        <v>7771684</v>
      </c>
      <c r="D15" s="7">
        <v>7942806</v>
      </c>
      <c r="E15" s="7">
        <v>7460546</v>
      </c>
      <c r="F15" s="7">
        <v>8000591</v>
      </c>
      <c r="G15" s="7">
        <v>8247240</v>
      </c>
      <c r="H15" s="7">
        <v>8508931</v>
      </c>
      <c r="I15" s="7">
        <v>8604137</v>
      </c>
      <c r="J15" s="7">
        <v>8121839</v>
      </c>
      <c r="K15" s="7">
        <v>8061852</v>
      </c>
      <c r="L15" s="7">
        <v>8641118</v>
      </c>
      <c r="M15" s="7">
        <v>8764617</v>
      </c>
      <c r="N15" s="7">
        <v>9271631</v>
      </c>
      <c r="O15" s="21">
        <v>87233238</v>
      </c>
      <c r="P15" s="24">
        <f t="shared" si="0"/>
        <v>23175036</v>
      </c>
      <c r="Q15" s="23">
        <v>8710629</v>
      </c>
      <c r="R15" s="23">
        <v>8122096</v>
      </c>
      <c r="S15" s="23">
        <v>8620025</v>
      </c>
      <c r="T15" s="7"/>
      <c r="U15" s="7"/>
      <c r="V15" s="7"/>
      <c r="W15" s="7"/>
      <c r="X15" s="7"/>
      <c r="Y15" s="7"/>
      <c r="Z15" s="7"/>
      <c r="AA15" s="7"/>
      <c r="AB15" s="7"/>
      <c r="AC15" s="7">
        <f t="shared" si="1"/>
        <v>25452750</v>
      </c>
      <c r="AD15" s="28">
        <f t="shared" si="5"/>
        <v>25452750</v>
      </c>
      <c r="AE15" s="32">
        <f t="shared" si="6"/>
        <v>6.8228870565506305</v>
      </c>
      <c r="AF15" s="26">
        <f t="shared" si="2"/>
        <v>7.9660980219570892</v>
      </c>
      <c r="AG15" s="32">
        <f t="shared" si="3"/>
        <v>15.541476454940428</v>
      </c>
      <c r="AH15" s="32">
        <f t="shared" si="4"/>
        <v>6.1305480752751507</v>
      </c>
      <c r="AI15" s="34">
        <f>(AD15-P15)/P15*100</f>
        <v>9.8283083573203509</v>
      </c>
    </row>
    <row r="16" spans="2:41" x14ac:dyDescent="0.35">
      <c r="B16" s="5" t="s">
        <v>12</v>
      </c>
      <c r="C16" s="23">
        <v>17926093</v>
      </c>
      <c r="D16" s="7">
        <v>15161782</v>
      </c>
      <c r="E16" s="7">
        <v>15034773</v>
      </c>
      <c r="F16" s="7">
        <v>22522037</v>
      </c>
      <c r="G16" s="7">
        <v>17697435</v>
      </c>
      <c r="H16" s="7">
        <v>18751277</v>
      </c>
      <c r="I16" s="7">
        <v>17765843</v>
      </c>
      <c r="J16" s="7">
        <v>16643119</v>
      </c>
      <c r="K16" s="7">
        <v>17026198</v>
      </c>
      <c r="L16" s="7">
        <v>17043246</v>
      </c>
      <c r="M16" s="7">
        <v>17664008</v>
      </c>
      <c r="N16" s="7">
        <v>18527110</v>
      </c>
      <c r="O16" s="21">
        <v>167396804</v>
      </c>
      <c r="P16" s="24">
        <f t="shared" si="0"/>
        <v>48122648</v>
      </c>
      <c r="Q16" s="23">
        <v>18382219</v>
      </c>
      <c r="R16" s="23">
        <v>15670287</v>
      </c>
      <c r="S16" s="23">
        <v>22482742</v>
      </c>
      <c r="T16" s="7"/>
      <c r="U16" s="7"/>
      <c r="V16" s="7"/>
      <c r="W16" s="7"/>
      <c r="X16" s="7"/>
      <c r="Y16" s="7"/>
      <c r="Z16" s="7"/>
      <c r="AA16" s="7"/>
      <c r="AB16" s="7"/>
      <c r="AC16" s="7">
        <f t="shared" si="1"/>
        <v>56535248</v>
      </c>
      <c r="AD16" s="28">
        <f t="shared" si="5"/>
        <v>56535248</v>
      </c>
      <c r="AE16" s="32">
        <f t="shared" si="6"/>
        <v>17.795448318023119</v>
      </c>
      <c r="AF16" s="26">
        <f t="shared" si="2"/>
        <v>17.69417164210757</v>
      </c>
      <c r="AG16" s="32">
        <f t="shared" si="3"/>
        <v>49.538287009720733</v>
      </c>
      <c r="AH16" s="32">
        <f t="shared" si="4"/>
        <v>43.473709192435336</v>
      </c>
      <c r="AI16" s="34">
        <f t="shared" si="7"/>
        <v>17.481581645299318</v>
      </c>
    </row>
    <row r="17" spans="2:35" x14ac:dyDescent="0.35">
      <c r="B17" s="5" t="s">
        <v>13</v>
      </c>
      <c r="C17" s="23">
        <v>13158987</v>
      </c>
      <c r="D17" s="7">
        <v>11941224</v>
      </c>
      <c r="E17" s="7">
        <v>11809395</v>
      </c>
      <c r="F17" s="7">
        <v>17987616</v>
      </c>
      <c r="G17" s="7">
        <v>11158969</v>
      </c>
      <c r="H17" s="7">
        <v>12032385</v>
      </c>
      <c r="I17" s="7">
        <v>11119075</v>
      </c>
      <c r="J17" s="7">
        <v>10964845</v>
      </c>
      <c r="K17" s="7">
        <v>11162426</v>
      </c>
      <c r="L17" s="7">
        <v>11371802</v>
      </c>
      <c r="M17" s="7">
        <v>11213412</v>
      </c>
      <c r="N17" s="7">
        <v>12333701</v>
      </c>
      <c r="O17" s="21">
        <v>146842040</v>
      </c>
      <c r="P17" s="24">
        <f t="shared" si="0"/>
        <v>36909606</v>
      </c>
      <c r="Q17" s="23">
        <v>11953858</v>
      </c>
      <c r="R17" s="23">
        <v>11306263</v>
      </c>
      <c r="S17" s="23">
        <v>20007121</v>
      </c>
      <c r="T17" s="7"/>
      <c r="U17" s="7"/>
      <c r="V17" s="7"/>
      <c r="W17" s="7"/>
      <c r="X17" s="7"/>
      <c r="Y17" s="7"/>
      <c r="Z17" s="7"/>
      <c r="AA17" s="7"/>
      <c r="AB17" s="7"/>
      <c r="AC17" s="7">
        <f t="shared" si="1"/>
        <v>43267242</v>
      </c>
      <c r="AD17" s="28">
        <f t="shared" si="5"/>
        <v>43267242</v>
      </c>
      <c r="AE17" s="32">
        <f t="shared" si="6"/>
        <v>15.835954873650868</v>
      </c>
      <c r="AF17" s="26">
        <f t="shared" si="2"/>
        <v>13.541605166897043</v>
      </c>
      <c r="AG17" s="32">
        <f t="shared" si="3"/>
        <v>69.416985374779998</v>
      </c>
      <c r="AH17" s="32">
        <f t="shared" si="4"/>
        <v>76.956090619862636</v>
      </c>
      <c r="AI17" s="34">
        <f t="shared" si="7"/>
        <v>17.224881782807437</v>
      </c>
    </row>
    <row r="18" spans="2:35" x14ac:dyDescent="0.35">
      <c r="B18" s="5" t="s">
        <v>14</v>
      </c>
      <c r="C18" s="23">
        <v>3758109</v>
      </c>
      <c r="D18" s="7">
        <v>3374272</v>
      </c>
      <c r="E18" s="7">
        <v>3107969</v>
      </c>
      <c r="F18" s="7">
        <v>3818919</v>
      </c>
      <c r="G18" s="7">
        <v>3547415</v>
      </c>
      <c r="H18" s="7">
        <v>3384447</v>
      </c>
      <c r="I18" s="7">
        <v>3519368</v>
      </c>
      <c r="J18" s="7">
        <v>3001094</v>
      </c>
      <c r="K18" s="7">
        <v>3035927</v>
      </c>
      <c r="L18" s="7">
        <v>3060739</v>
      </c>
      <c r="M18" s="7">
        <v>3112138</v>
      </c>
      <c r="N18" s="7">
        <v>3872440</v>
      </c>
      <c r="O18" s="21">
        <v>38030739</v>
      </c>
      <c r="P18" s="24">
        <f t="shared" si="0"/>
        <v>10240350</v>
      </c>
      <c r="Q18" s="23">
        <v>3530043</v>
      </c>
      <c r="R18" s="23">
        <v>3087623</v>
      </c>
      <c r="S18" s="23">
        <v>3763897</v>
      </c>
      <c r="T18" s="7"/>
      <c r="U18" s="7"/>
      <c r="V18" s="7"/>
      <c r="W18" s="7"/>
      <c r="X18" s="7"/>
      <c r="Y18" s="7"/>
      <c r="Z18" s="7"/>
      <c r="AA18" s="7"/>
      <c r="AB18" s="7"/>
      <c r="AC18" s="7">
        <f t="shared" si="1"/>
        <v>10381563</v>
      </c>
      <c r="AD18" s="28">
        <f t="shared" si="5"/>
        <v>10381563</v>
      </c>
      <c r="AE18" s="32">
        <f t="shared" si="6"/>
        <v>2.9791844134430874</v>
      </c>
      <c r="AF18" s="26">
        <f t="shared" si="2"/>
        <v>3.2491793020055946</v>
      </c>
      <c r="AG18" s="32">
        <f t="shared" si="3"/>
        <v>21.10471500841868</v>
      </c>
      <c r="AH18" s="32">
        <f t="shared" si="4"/>
        <v>21.90273877348368</v>
      </c>
      <c r="AI18" s="34">
        <f t="shared" si="7"/>
        <v>1.3789860698120671</v>
      </c>
    </row>
    <row r="19" spans="2:35" x14ac:dyDescent="0.35">
      <c r="B19" s="5" t="s">
        <v>15</v>
      </c>
      <c r="C19" s="23">
        <v>19592435</v>
      </c>
      <c r="D19" s="7">
        <v>16475887</v>
      </c>
      <c r="E19" s="7">
        <v>16430577</v>
      </c>
      <c r="F19" s="7">
        <v>25227235</v>
      </c>
      <c r="G19" s="7">
        <v>16982719</v>
      </c>
      <c r="H19" s="7">
        <v>18706855</v>
      </c>
      <c r="I19" s="7">
        <v>17761125</v>
      </c>
      <c r="J19" s="7">
        <v>16065277</v>
      </c>
      <c r="K19" s="7">
        <v>16880425</v>
      </c>
      <c r="L19" s="7">
        <v>16896078</v>
      </c>
      <c r="M19" s="7">
        <v>16456790</v>
      </c>
      <c r="N19" s="7">
        <v>19722249</v>
      </c>
      <c r="O19" s="21">
        <v>218711818</v>
      </c>
      <c r="P19" s="24">
        <f t="shared" si="0"/>
        <v>52498899</v>
      </c>
      <c r="Q19" s="23">
        <v>17579051</v>
      </c>
      <c r="R19" s="23">
        <v>16128443</v>
      </c>
      <c r="S19" s="23">
        <v>20776964</v>
      </c>
      <c r="T19" s="7"/>
      <c r="U19" s="7"/>
      <c r="V19" s="7"/>
      <c r="W19" s="7"/>
      <c r="X19" s="7"/>
      <c r="Y19" s="7"/>
      <c r="Z19" s="7"/>
      <c r="AA19" s="7"/>
      <c r="AB19" s="7"/>
      <c r="AC19" s="7">
        <f t="shared" si="1"/>
        <v>54484458</v>
      </c>
      <c r="AD19" s="28">
        <f t="shared" si="5"/>
        <v>54484458</v>
      </c>
      <c r="AE19" s="32">
        <f t="shared" si="6"/>
        <v>16.445297867467719</v>
      </c>
      <c r="AF19" s="26">
        <f t="shared" si="2"/>
        <v>17.052323741096899</v>
      </c>
      <c r="AG19" s="32">
        <f t="shared" si="3"/>
        <v>26.45303935461305</v>
      </c>
      <c r="AH19" s="32">
        <f t="shared" si="4"/>
        <v>28.821883178680054</v>
      </c>
      <c r="AI19" s="34">
        <f t="shared" si="7"/>
        <v>3.7820964588228789</v>
      </c>
    </row>
    <row r="20" spans="2:35" x14ac:dyDescent="0.35">
      <c r="B20" s="5" t="s">
        <v>16</v>
      </c>
      <c r="C20" s="23">
        <v>5374964</v>
      </c>
      <c r="D20" s="7">
        <v>4933130</v>
      </c>
      <c r="E20" s="7">
        <v>4906087</v>
      </c>
      <c r="F20" s="7">
        <v>6510839</v>
      </c>
      <c r="G20" s="7">
        <v>5298701</v>
      </c>
      <c r="H20" s="7">
        <v>5346246</v>
      </c>
      <c r="I20" s="7">
        <v>5125363</v>
      </c>
      <c r="J20" s="7">
        <v>4929333</v>
      </c>
      <c r="K20" s="7">
        <v>4910953</v>
      </c>
      <c r="L20" s="7">
        <v>5027944</v>
      </c>
      <c r="M20" s="7">
        <v>5003377</v>
      </c>
      <c r="N20" s="7">
        <v>5189645</v>
      </c>
      <c r="O20" s="21">
        <v>48257848</v>
      </c>
      <c r="P20" s="24">
        <f t="shared" si="0"/>
        <v>15214181</v>
      </c>
      <c r="Q20" s="23">
        <v>5164560</v>
      </c>
      <c r="R20" s="23">
        <v>4943547</v>
      </c>
      <c r="S20" s="23">
        <v>6565677</v>
      </c>
      <c r="T20" s="7"/>
      <c r="U20" s="7"/>
      <c r="V20" s="7"/>
      <c r="W20" s="7"/>
      <c r="X20" s="7"/>
      <c r="Y20" s="7"/>
      <c r="Z20" s="7"/>
      <c r="AA20" s="7"/>
      <c r="AB20" s="7"/>
      <c r="AC20" s="7">
        <f t="shared" si="1"/>
        <v>16673784</v>
      </c>
      <c r="AD20" s="28">
        <f t="shared" si="5"/>
        <v>16673784</v>
      </c>
      <c r="AE20" s="32">
        <f t="shared" si="6"/>
        <v>5.1968379002139988</v>
      </c>
      <c r="AF20" s="26">
        <f t="shared" si="2"/>
        <v>5.2184930013825523</v>
      </c>
      <c r="AG20" s="32">
        <f t="shared" si="3"/>
        <v>33.827162053995373</v>
      </c>
      <c r="AH20" s="32">
        <f t="shared" si="4"/>
        <v>32.813079353751469</v>
      </c>
      <c r="AI20" s="34">
        <f t="shared" si="7"/>
        <v>9.593700771668221</v>
      </c>
    </row>
    <row r="21" spans="2:35" x14ac:dyDescent="0.35">
      <c r="B21" s="5" t="s">
        <v>17</v>
      </c>
      <c r="C21" s="23">
        <v>2311747</v>
      </c>
      <c r="D21" s="7">
        <v>1999492</v>
      </c>
      <c r="E21" s="7">
        <v>2169182</v>
      </c>
      <c r="F21" s="7">
        <v>2346090</v>
      </c>
      <c r="G21" s="7">
        <v>2221177</v>
      </c>
      <c r="H21" s="7">
        <v>2239144</v>
      </c>
      <c r="I21" s="7">
        <v>2293035</v>
      </c>
      <c r="J21" s="7">
        <v>2194366</v>
      </c>
      <c r="K21" s="7">
        <v>2116177</v>
      </c>
      <c r="L21" s="7">
        <v>2147680</v>
      </c>
      <c r="M21" s="7">
        <v>2378591</v>
      </c>
      <c r="N21" s="7">
        <v>2198625</v>
      </c>
      <c r="O21" s="21">
        <v>22644939</v>
      </c>
      <c r="P21" s="24">
        <f t="shared" si="0"/>
        <v>6480421</v>
      </c>
      <c r="Q21" s="23">
        <v>2170938</v>
      </c>
      <c r="R21" s="23">
        <v>1992887</v>
      </c>
      <c r="S21" s="23">
        <v>2295374</v>
      </c>
      <c r="T21" s="7"/>
      <c r="U21" s="7"/>
      <c r="V21" s="7"/>
      <c r="W21" s="7"/>
      <c r="X21" s="7"/>
      <c r="Y21" s="7"/>
      <c r="Z21" s="7"/>
      <c r="AA21" s="7"/>
      <c r="AB21" s="7"/>
      <c r="AC21" s="7">
        <f t="shared" si="1"/>
        <v>6459199</v>
      </c>
      <c r="AD21" s="28">
        <f t="shared" si="5"/>
        <v>6459199</v>
      </c>
      <c r="AE21" s="32">
        <f t="shared" si="6"/>
        <v>1.8168250735401403</v>
      </c>
      <c r="AF21" s="26">
        <f t="shared" si="2"/>
        <v>2.0215737936893738</v>
      </c>
      <c r="AG21" s="32">
        <f t="shared" si="3"/>
        <v>5.817492492561712</v>
      </c>
      <c r="AH21" s="32">
        <f t="shared" si="4"/>
        <v>15.178331736822006</v>
      </c>
      <c r="AI21" s="34">
        <f t="shared" si="7"/>
        <v>-0.32747872399030864</v>
      </c>
    </row>
    <row r="22" spans="2:35" x14ac:dyDescent="0.35">
      <c r="B22" s="5" t="s">
        <v>18</v>
      </c>
      <c r="C22" s="23">
        <v>1230718</v>
      </c>
      <c r="D22" s="7">
        <v>1038329</v>
      </c>
      <c r="E22" s="7">
        <v>1051980</v>
      </c>
      <c r="F22" s="7">
        <v>1427974</v>
      </c>
      <c r="G22" s="7">
        <v>1177046</v>
      </c>
      <c r="H22" s="7">
        <v>1294792</v>
      </c>
      <c r="I22" s="7">
        <v>1216472</v>
      </c>
      <c r="J22" s="7">
        <v>1245830</v>
      </c>
      <c r="K22" s="7">
        <v>1269281</v>
      </c>
      <c r="L22" s="7">
        <v>1310028</v>
      </c>
      <c r="M22" s="7">
        <v>1247033</v>
      </c>
      <c r="N22" s="7">
        <v>1338924</v>
      </c>
      <c r="O22" s="21">
        <v>13769746</v>
      </c>
      <c r="P22" s="24">
        <f t="shared" si="0"/>
        <v>3321027</v>
      </c>
      <c r="Q22" s="23">
        <v>1194306</v>
      </c>
      <c r="R22" s="23">
        <v>1034930</v>
      </c>
      <c r="S22" s="23">
        <v>1393460</v>
      </c>
      <c r="T22" s="7"/>
      <c r="U22" s="7"/>
      <c r="V22" s="7"/>
      <c r="W22" s="7"/>
      <c r="X22" s="7"/>
      <c r="Y22" s="7"/>
      <c r="Z22" s="7"/>
      <c r="AA22" s="7"/>
      <c r="AB22" s="7"/>
      <c r="AC22" s="7">
        <f t="shared" si="1"/>
        <v>3622696</v>
      </c>
      <c r="AD22" s="28">
        <f t="shared" si="5"/>
        <v>3622696</v>
      </c>
      <c r="AE22" s="32">
        <f t="shared" si="6"/>
        <v>1.102945780066884</v>
      </c>
      <c r="AF22" s="26">
        <f t="shared" si="2"/>
        <v>1.1338166382709867</v>
      </c>
      <c r="AG22" s="32">
        <f t="shared" si="3"/>
        <v>32.460693169071654</v>
      </c>
      <c r="AH22" s="32">
        <f t="shared" si="4"/>
        <v>34.642922709748483</v>
      </c>
      <c r="AI22" s="34">
        <f t="shared" si="7"/>
        <v>9.0836057641205574</v>
      </c>
    </row>
    <row r="23" spans="2:35" x14ac:dyDescent="0.35">
      <c r="B23" s="5" t="s">
        <v>19</v>
      </c>
      <c r="C23" s="23">
        <v>834590</v>
      </c>
      <c r="D23" s="7">
        <v>752936</v>
      </c>
      <c r="E23" s="7">
        <v>765502</v>
      </c>
      <c r="F23" s="7">
        <v>825446</v>
      </c>
      <c r="G23" s="7">
        <v>820703</v>
      </c>
      <c r="H23" s="7">
        <v>905963</v>
      </c>
      <c r="I23" s="7">
        <v>981528</v>
      </c>
      <c r="J23" s="7">
        <v>881656</v>
      </c>
      <c r="K23" s="7">
        <v>896721</v>
      </c>
      <c r="L23" s="7">
        <v>875825</v>
      </c>
      <c r="M23" s="7">
        <v>900291</v>
      </c>
      <c r="N23" s="7">
        <v>960708</v>
      </c>
      <c r="O23" s="21">
        <v>7983247</v>
      </c>
      <c r="P23" s="24">
        <f t="shared" si="0"/>
        <v>2353028</v>
      </c>
      <c r="Q23" s="23">
        <v>920409</v>
      </c>
      <c r="R23" s="23">
        <v>758334</v>
      </c>
      <c r="S23" s="23">
        <v>867965</v>
      </c>
      <c r="T23" s="7"/>
      <c r="U23" s="7"/>
      <c r="V23" s="7"/>
      <c r="W23" s="7"/>
      <c r="X23" s="7"/>
      <c r="Y23" s="7"/>
      <c r="Z23" s="7"/>
      <c r="AA23" s="7"/>
      <c r="AB23" s="7"/>
      <c r="AC23" s="7">
        <f t="shared" si="1"/>
        <v>2546708</v>
      </c>
      <c r="AD23" s="28">
        <f t="shared" si="5"/>
        <v>2546708</v>
      </c>
      <c r="AE23" s="32">
        <f t="shared" si="6"/>
        <v>0.68700811935452255</v>
      </c>
      <c r="AF23" s="26">
        <f t="shared" si="2"/>
        <v>0.79705829669887518</v>
      </c>
      <c r="AG23" s="32">
        <f t="shared" si="3"/>
        <v>13.385072801899931</v>
      </c>
      <c r="AH23" s="32">
        <f t="shared" si="4"/>
        <v>14.456822455540699</v>
      </c>
      <c r="AI23" s="34">
        <f t="shared" si="7"/>
        <v>8.2310962725475427</v>
      </c>
    </row>
    <row r="24" spans="2:35" x14ac:dyDescent="0.35">
      <c r="B24" s="5" t="s">
        <v>20</v>
      </c>
      <c r="C24" s="23">
        <v>903765</v>
      </c>
      <c r="D24" s="7">
        <v>911674</v>
      </c>
      <c r="E24" s="7">
        <v>792124</v>
      </c>
      <c r="F24" s="7">
        <v>1488131</v>
      </c>
      <c r="G24" s="7">
        <v>1164615</v>
      </c>
      <c r="H24" s="7">
        <v>1299938</v>
      </c>
      <c r="I24" s="7">
        <v>1193035</v>
      </c>
      <c r="J24" s="7">
        <v>1084102</v>
      </c>
      <c r="K24" s="7">
        <v>1073411</v>
      </c>
      <c r="L24" s="7">
        <v>1088702</v>
      </c>
      <c r="M24" s="7">
        <v>1074462</v>
      </c>
      <c r="N24" s="7">
        <v>1118159</v>
      </c>
      <c r="O24" s="21">
        <v>8165686</v>
      </c>
      <c r="P24" s="24">
        <f t="shared" si="0"/>
        <v>2607563</v>
      </c>
      <c r="Q24" s="23">
        <v>1245754</v>
      </c>
      <c r="R24" s="23">
        <v>1137134</v>
      </c>
      <c r="S24" s="23">
        <v>1568597</v>
      </c>
      <c r="T24" s="7"/>
      <c r="U24" s="7"/>
      <c r="V24" s="7"/>
      <c r="W24" s="7"/>
      <c r="X24" s="7"/>
      <c r="Y24" s="7"/>
      <c r="Z24" s="7"/>
      <c r="AA24" s="7"/>
      <c r="AB24" s="7"/>
      <c r="AC24" s="7">
        <f t="shared" si="1"/>
        <v>3951485</v>
      </c>
      <c r="AD24" s="28">
        <f t="shared" si="5"/>
        <v>3951485</v>
      </c>
      <c r="AE24" s="32">
        <f t="shared" si="6"/>
        <v>1.2415695045251203</v>
      </c>
      <c r="AF24" s="26">
        <f t="shared" si="2"/>
        <v>1.2367196802818206</v>
      </c>
      <c r="AG24" s="32">
        <f t="shared" si="3"/>
        <v>98.024172983017806</v>
      </c>
      <c r="AH24" s="32">
        <f t="shared" si="4"/>
        <v>37.943021666751676</v>
      </c>
      <c r="AI24" s="34">
        <f t="shared" si="7"/>
        <v>51.539387543081418</v>
      </c>
    </row>
    <row r="25" spans="2:35" x14ac:dyDescent="0.35">
      <c r="B25" s="5" t="s">
        <v>21</v>
      </c>
      <c r="C25" s="23">
        <v>980120</v>
      </c>
      <c r="D25" s="7">
        <v>845613</v>
      </c>
      <c r="E25" s="7">
        <v>874622</v>
      </c>
      <c r="F25" s="7">
        <v>1148981</v>
      </c>
      <c r="G25" s="7">
        <v>942771</v>
      </c>
      <c r="H25" s="7">
        <v>1014512</v>
      </c>
      <c r="I25" s="7">
        <v>974579</v>
      </c>
      <c r="J25" s="7">
        <v>890340</v>
      </c>
      <c r="K25" s="7">
        <v>901545</v>
      </c>
      <c r="L25" s="7">
        <v>934448</v>
      </c>
      <c r="M25" s="7">
        <v>868321</v>
      </c>
      <c r="N25" s="7">
        <v>922485</v>
      </c>
      <c r="O25" s="21">
        <v>6499070</v>
      </c>
      <c r="P25" s="24">
        <f t="shared" si="0"/>
        <v>2700355</v>
      </c>
      <c r="Q25" s="23">
        <v>999644</v>
      </c>
      <c r="R25" s="23">
        <v>867864</v>
      </c>
      <c r="S25" s="23">
        <v>1213887</v>
      </c>
      <c r="T25" s="7"/>
      <c r="U25" s="7"/>
      <c r="V25" s="7"/>
      <c r="W25" s="7"/>
      <c r="X25" s="7"/>
      <c r="Y25" s="7"/>
      <c r="Z25" s="7"/>
      <c r="AA25" s="7"/>
      <c r="AB25" s="7"/>
      <c r="AC25" s="7">
        <f t="shared" si="1"/>
        <v>3081395</v>
      </c>
      <c r="AD25" s="28">
        <f t="shared" si="5"/>
        <v>3081395</v>
      </c>
      <c r="AE25" s="32">
        <f t="shared" si="6"/>
        <v>0.96081089096784233</v>
      </c>
      <c r="AF25" s="26">
        <f t="shared" si="2"/>
        <v>0.96440245609486064</v>
      </c>
      <c r="AG25" s="32">
        <f t="shared" si="3"/>
        <v>38.789900093983462</v>
      </c>
      <c r="AH25" s="32">
        <f t="shared" si="4"/>
        <v>39.87064793562125</v>
      </c>
      <c r="AI25" s="34">
        <f t="shared" si="7"/>
        <v>14.110737291948652</v>
      </c>
    </row>
    <row r="26" spans="2:35" x14ac:dyDescent="0.35">
      <c r="B26" s="5" t="s">
        <v>22</v>
      </c>
      <c r="C26" s="23">
        <v>1822941</v>
      </c>
      <c r="D26" s="7">
        <v>1507819</v>
      </c>
      <c r="E26" s="7">
        <v>1514382</v>
      </c>
      <c r="F26" s="7">
        <v>1897892</v>
      </c>
      <c r="G26" s="7">
        <v>1495286</v>
      </c>
      <c r="H26" s="7">
        <v>1652216</v>
      </c>
      <c r="I26" s="7">
        <v>1487143</v>
      </c>
      <c r="J26" s="7">
        <v>1379543</v>
      </c>
      <c r="K26" s="7">
        <v>1417232</v>
      </c>
      <c r="L26" s="7">
        <v>1407435</v>
      </c>
      <c r="M26" s="7">
        <v>1449498</v>
      </c>
      <c r="N26" s="7">
        <v>1985860</v>
      </c>
      <c r="O26" s="21">
        <v>11668618</v>
      </c>
      <c r="P26" s="24">
        <f t="shared" si="0"/>
        <v>4845142</v>
      </c>
      <c r="Q26" s="23">
        <v>1633168</v>
      </c>
      <c r="R26" s="23">
        <v>1386419</v>
      </c>
      <c r="S26" s="23">
        <v>1888664</v>
      </c>
      <c r="T26" s="7"/>
      <c r="U26" s="7"/>
      <c r="V26" s="7"/>
      <c r="W26" s="7"/>
      <c r="X26" s="7"/>
      <c r="Y26" s="7"/>
      <c r="Z26" s="7"/>
      <c r="AA26" s="7"/>
      <c r="AB26" s="7"/>
      <c r="AC26" s="7">
        <f t="shared" si="1"/>
        <v>4908251</v>
      </c>
      <c r="AD26" s="28">
        <f t="shared" si="5"/>
        <v>4908251</v>
      </c>
      <c r="AE26" s="32">
        <f t="shared" si="6"/>
        <v>1.4949076319121049</v>
      </c>
      <c r="AF26" s="26">
        <f t="shared" si="2"/>
        <v>1.5361644059038377</v>
      </c>
      <c r="AG26" s="32">
        <f t="shared" si="3"/>
        <v>24.715164337663811</v>
      </c>
      <c r="AH26" s="32">
        <f t="shared" si="4"/>
        <v>36.226061529739567</v>
      </c>
      <c r="AI26" s="34">
        <f t="shared" si="7"/>
        <v>1.3025211644983781</v>
      </c>
    </row>
    <row r="27" spans="2:35" x14ac:dyDescent="0.35">
      <c r="B27" s="5" t="s">
        <v>23</v>
      </c>
      <c r="C27" s="23">
        <v>1386611</v>
      </c>
      <c r="D27" s="7">
        <v>1212334</v>
      </c>
      <c r="E27" s="7">
        <v>1088863</v>
      </c>
      <c r="F27" s="7">
        <v>1667273</v>
      </c>
      <c r="G27" s="7">
        <v>1235577</v>
      </c>
      <c r="H27" s="7">
        <v>1404587</v>
      </c>
      <c r="I27" s="7">
        <v>1384700</v>
      </c>
      <c r="J27" s="7">
        <v>1226755</v>
      </c>
      <c r="K27" s="7">
        <v>1223736</v>
      </c>
      <c r="L27" s="7">
        <v>1207611</v>
      </c>
      <c r="M27" s="7">
        <v>1255190</v>
      </c>
      <c r="N27" s="7">
        <v>1390144</v>
      </c>
      <c r="O27" s="21">
        <v>12205958</v>
      </c>
      <c r="P27" s="24">
        <f t="shared" si="0"/>
        <v>3687808</v>
      </c>
      <c r="Q27" s="23">
        <v>1375871</v>
      </c>
      <c r="R27" s="23">
        <v>1129165</v>
      </c>
      <c r="S27" s="23">
        <v>1594585</v>
      </c>
      <c r="T27" s="7"/>
      <c r="U27" s="7"/>
      <c r="V27" s="7"/>
      <c r="W27" s="7"/>
      <c r="X27" s="7"/>
      <c r="Y27" s="7"/>
      <c r="Z27" s="7"/>
      <c r="AA27" s="7"/>
      <c r="AB27" s="7"/>
      <c r="AC27" s="7">
        <f t="shared" si="1"/>
        <v>4099621</v>
      </c>
      <c r="AD27" s="28">
        <f t="shared" si="5"/>
        <v>4099621</v>
      </c>
      <c r="AE27" s="32">
        <f t="shared" si="6"/>
        <v>1.2621394203694059</v>
      </c>
      <c r="AF27" s="26">
        <f t="shared" si="2"/>
        <v>1.283082682180658</v>
      </c>
      <c r="AG27" s="32">
        <f t="shared" si="3"/>
        <v>46.444961395510731</v>
      </c>
      <c r="AH27" s="32">
        <f t="shared" si="4"/>
        <v>41.218068218550876</v>
      </c>
      <c r="AI27" s="34">
        <f t="shared" si="7"/>
        <v>11.166877451320676</v>
      </c>
    </row>
    <row r="28" spans="2:35" x14ac:dyDescent="0.35">
      <c r="B28" s="5" t="s">
        <v>24</v>
      </c>
      <c r="C28" s="23">
        <v>122028</v>
      </c>
      <c r="D28" s="7">
        <v>114867</v>
      </c>
      <c r="E28" s="7">
        <v>109841</v>
      </c>
      <c r="F28" s="7">
        <v>159862</v>
      </c>
      <c r="G28" s="7">
        <v>141558</v>
      </c>
      <c r="H28" s="7">
        <v>153302</v>
      </c>
      <c r="I28" s="7">
        <v>156028</v>
      </c>
      <c r="J28" s="7">
        <v>140342</v>
      </c>
      <c r="K28" s="7">
        <v>138176</v>
      </c>
      <c r="L28" s="7">
        <v>161200</v>
      </c>
      <c r="M28" s="7">
        <v>149445</v>
      </c>
      <c r="N28" s="7">
        <v>151971</v>
      </c>
      <c r="O28" s="21">
        <v>962342</v>
      </c>
      <c r="P28" s="24">
        <f t="shared" si="0"/>
        <v>346736</v>
      </c>
      <c r="Q28" s="23">
        <v>152246</v>
      </c>
      <c r="R28" s="23">
        <v>125693</v>
      </c>
      <c r="S28" s="23">
        <v>163095</v>
      </c>
      <c r="T28" s="7"/>
      <c r="U28" s="7"/>
      <c r="V28" s="7"/>
      <c r="W28" s="7"/>
      <c r="X28" s="7"/>
      <c r="Y28" s="7"/>
      <c r="Z28" s="7"/>
      <c r="AA28" s="7"/>
      <c r="AB28" s="7"/>
      <c r="AC28" s="7">
        <f t="shared" si="1"/>
        <v>441034</v>
      </c>
      <c r="AD28" s="28">
        <f t="shared" si="5"/>
        <v>441034</v>
      </c>
      <c r="AE28" s="32">
        <f t="shared" si="6"/>
        <v>0.12909228969615807</v>
      </c>
      <c r="AF28" s="26">
        <f t="shared" si="2"/>
        <v>0.13803302491934361</v>
      </c>
      <c r="AG28" s="32">
        <f t="shared" si="3"/>
        <v>48.482806966433301</v>
      </c>
      <c r="AH28" s="32">
        <f t="shared" si="4"/>
        <v>29.756629247452125</v>
      </c>
      <c r="AI28" s="34">
        <f t="shared" si="7"/>
        <v>27.19590697245166</v>
      </c>
    </row>
    <row r="29" spans="2:35" x14ac:dyDescent="0.35">
      <c r="B29" s="5" t="s">
        <v>25</v>
      </c>
      <c r="C29" s="23">
        <v>1071712</v>
      </c>
      <c r="D29" s="7">
        <v>937681</v>
      </c>
      <c r="E29" s="7">
        <v>954622</v>
      </c>
      <c r="F29" s="7">
        <v>1315772</v>
      </c>
      <c r="G29" s="7">
        <v>1219121</v>
      </c>
      <c r="H29" s="7">
        <v>1322030</v>
      </c>
      <c r="I29" s="7">
        <v>1409053</v>
      </c>
      <c r="J29" s="7">
        <v>1290395</v>
      </c>
      <c r="K29" s="7">
        <v>1196153</v>
      </c>
      <c r="L29" s="7">
        <v>1224528</v>
      </c>
      <c r="M29" s="7">
        <v>1234789</v>
      </c>
      <c r="N29" s="7">
        <v>1362103</v>
      </c>
      <c r="O29" s="21">
        <v>8202302</v>
      </c>
      <c r="P29" s="24">
        <f t="shared" si="0"/>
        <v>2964015</v>
      </c>
      <c r="Q29" s="23">
        <v>1232868</v>
      </c>
      <c r="R29" s="23">
        <v>1052830</v>
      </c>
      <c r="S29" s="23">
        <v>1295077</v>
      </c>
      <c r="T29" s="7"/>
      <c r="U29" s="7"/>
      <c r="V29" s="7"/>
      <c r="W29" s="7"/>
      <c r="X29" s="7"/>
      <c r="Y29" s="7"/>
      <c r="Z29" s="7"/>
      <c r="AA29" s="7"/>
      <c r="AB29" s="7"/>
      <c r="AC29" s="7">
        <f t="shared" si="1"/>
        <v>3580775</v>
      </c>
      <c r="AD29" s="28">
        <f t="shared" si="5"/>
        <v>3580775</v>
      </c>
      <c r="AE29" s="32">
        <f t="shared" si="6"/>
        <v>1.025074068872935</v>
      </c>
      <c r="AF29" s="26">
        <f t="shared" si="2"/>
        <v>1.120696374441795</v>
      </c>
      <c r="AG29" s="32">
        <f t="shared" si="3"/>
        <v>35.663854384248424</v>
      </c>
      <c r="AH29" s="32">
        <f t="shared" si="4"/>
        <v>23.009127779413578</v>
      </c>
      <c r="AI29" s="34">
        <f t="shared" si="7"/>
        <v>20.808261766556512</v>
      </c>
    </row>
    <row r="30" spans="2:35" x14ac:dyDescent="0.35">
      <c r="B30" s="5" t="s">
        <v>26</v>
      </c>
      <c r="C30" s="23">
        <v>1004763</v>
      </c>
      <c r="D30" s="7">
        <v>875103</v>
      </c>
      <c r="E30" s="7">
        <v>859765</v>
      </c>
      <c r="F30" s="7">
        <v>1147915</v>
      </c>
      <c r="G30" s="7">
        <v>914263</v>
      </c>
      <c r="H30" s="7">
        <v>1041761</v>
      </c>
      <c r="I30" s="7">
        <v>951615</v>
      </c>
      <c r="J30" s="7">
        <v>926150</v>
      </c>
      <c r="K30" s="7">
        <v>895193</v>
      </c>
      <c r="L30" s="7">
        <v>942049</v>
      </c>
      <c r="M30" s="7">
        <v>972499</v>
      </c>
      <c r="N30" s="7">
        <v>1041103</v>
      </c>
      <c r="O30" s="21">
        <v>9329221</v>
      </c>
      <c r="P30" s="24">
        <f t="shared" si="0"/>
        <v>2739631</v>
      </c>
      <c r="Q30" s="23">
        <v>1042351</v>
      </c>
      <c r="R30" s="23">
        <v>880248</v>
      </c>
      <c r="S30" s="23">
        <v>1167765</v>
      </c>
      <c r="T30" s="7"/>
      <c r="U30" s="7"/>
      <c r="V30" s="7"/>
      <c r="W30" s="7"/>
      <c r="X30" s="7"/>
      <c r="Y30" s="7"/>
      <c r="Z30" s="7"/>
      <c r="AA30" s="7"/>
      <c r="AB30" s="7"/>
      <c r="AC30" s="7">
        <f t="shared" si="1"/>
        <v>3090364</v>
      </c>
      <c r="AD30" s="28">
        <f t="shared" si="5"/>
        <v>3090364</v>
      </c>
      <c r="AE30" s="32">
        <f t="shared" si="6"/>
        <v>0.92430459350092919</v>
      </c>
      <c r="AF30" s="26">
        <f t="shared" si="2"/>
        <v>0.96720953718271685</v>
      </c>
      <c r="AG30" s="32">
        <f t="shared" si="3"/>
        <v>35.823742534297168</v>
      </c>
      <c r="AH30" s="32">
        <f t="shared" si="4"/>
        <v>32.663181285274149</v>
      </c>
      <c r="AI30" s="34">
        <f t="shared" si="7"/>
        <v>12.802198544256507</v>
      </c>
    </row>
    <row r="31" spans="2:35" x14ac:dyDescent="0.35">
      <c r="B31" s="5" t="s">
        <v>27</v>
      </c>
      <c r="C31" s="23">
        <v>3985023</v>
      </c>
      <c r="D31" s="7">
        <v>3190590</v>
      </c>
      <c r="E31" s="7">
        <v>3333448</v>
      </c>
      <c r="F31" s="7">
        <v>4451289</v>
      </c>
      <c r="G31" s="7">
        <v>3381004</v>
      </c>
      <c r="H31" s="7">
        <v>3699289</v>
      </c>
      <c r="I31" s="7">
        <v>3372919</v>
      </c>
      <c r="J31" s="7">
        <v>3159514</v>
      </c>
      <c r="K31" s="7">
        <v>3261271</v>
      </c>
      <c r="L31" s="7">
        <v>3336265</v>
      </c>
      <c r="M31" s="7">
        <v>3290311</v>
      </c>
      <c r="N31" s="7">
        <v>4069435</v>
      </c>
      <c r="O31" s="21">
        <v>36518290</v>
      </c>
      <c r="P31" s="24">
        <f t="shared" si="0"/>
        <v>10509061</v>
      </c>
      <c r="Q31" s="23">
        <v>4096980</v>
      </c>
      <c r="R31" s="23">
        <v>3311374</v>
      </c>
      <c r="S31" s="23">
        <v>4346194</v>
      </c>
      <c r="T31" s="7"/>
      <c r="U31" s="7"/>
      <c r="V31" s="7"/>
      <c r="W31" s="7"/>
      <c r="X31" s="7"/>
      <c r="Y31" s="7"/>
      <c r="Z31" s="7"/>
      <c r="AA31" s="7"/>
      <c r="AB31" s="7"/>
      <c r="AC31" s="7">
        <f t="shared" si="1"/>
        <v>11754548</v>
      </c>
      <c r="AD31" s="28">
        <f t="shared" si="5"/>
        <v>11754548</v>
      </c>
      <c r="AE31" s="32">
        <f t="shared" si="6"/>
        <v>3.4400817616953563</v>
      </c>
      <c r="AF31" s="26">
        <f t="shared" si="2"/>
        <v>3.6788905549223427</v>
      </c>
      <c r="AG31" s="32">
        <f t="shared" si="3"/>
        <v>30.381334882080058</v>
      </c>
      <c r="AH31" s="32">
        <f t="shared" si="4"/>
        <v>31.250471858509488</v>
      </c>
      <c r="AI31" s="34">
        <f t="shared" si="7"/>
        <v>11.851553625961445</v>
      </c>
    </row>
    <row r="32" spans="2:35" x14ac:dyDescent="0.35">
      <c r="B32" s="5" t="s">
        <v>28</v>
      </c>
      <c r="C32" s="23">
        <v>1091515</v>
      </c>
      <c r="D32" s="7">
        <v>1001930</v>
      </c>
      <c r="E32" s="7">
        <v>907009</v>
      </c>
      <c r="F32" s="7">
        <v>1314878</v>
      </c>
      <c r="G32" s="7">
        <v>1067016</v>
      </c>
      <c r="H32" s="7">
        <v>1213254</v>
      </c>
      <c r="I32" s="7">
        <v>1067152</v>
      </c>
      <c r="J32" s="7">
        <v>1166340</v>
      </c>
      <c r="K32" s="7">
        <v>1057274</v>
      </c>
      <c r="L32" s="7">
        <v>1098950</v>
      </c>
      <c r="M32" s="7">
        <v>1117828</v>
      </c>
      <c r="N32" s="7">
        <v>1169592</v>
      </c>
      <c r="O32" s="21">
        <v>12946373</v>
      </c>
      <c r="P32" s="24">
        <f t="shared" si="0"/>
        <v>3000454</v>
      </c>
      <c r="Q32" s="23">
        <v>1182081</v>
      </c>
      <c r="R32" s="23">
        <v>1012170</v>
      </c>
      <c r="S32" s="23">
        <v>1248345</v>
      </c>
      <c r="T32" s="7"/>
      <c r="U32" s="7"/>
      <c r="V32" s="7"/>
      <c r="W32" s="7"/>
      <c r="X32" s="7"/>
      <c r="Y32" s="7"/>
      <c r="Z32" s="7"/>
      <c r="AA32" s="7"/>
      <c r="AB32" s="7"/>
      <c r="AC32" s="7">
        <f t="shared" si="1"/>
        <v>3442596</v>
      </c>
      <c r="AD32" s="28">
        <f t="shared" si="5"/>
        <v>3442596</v>
      </c>
      <c r="AE32" s="32">
        <f t="shared" si="6"/>
        <v>0.98808494669211477</v>
      </c>
      <c r="AF32" s="26">
        <f t="shared" si="2"/>
        <v>1.0774496738465347</v>
      </c>
      <c r="AG32" s="32">
        <f t="shared" si="3"/>
        <v>37.63314366230103</v>
      </c>
      <c r="AH32" s="32">
        <f t="shared" si="4"/>
        <v>23.33353092859895</v>
      </c>
      <c r="AI32" s="34">
        <f t="shared" si="7"/>
        <v>14.735836643387968</v>
      </c>
    </row>
    <row r="33" spans="2:35" x14ac:dyDescent="0.35">
      <c r="B33" s="5" t="s">
        <v>29</v>
      </c>
      <c r="C33" s="23">
        <v>382319</v>
      </c>
      <c r="D33" s="7">
        <v>368976</v>
      </c>
      <c r="E33" s="7">
        <v>366701</v>
      </c>
      <c r="F33" s="7">
        <v>491534</v>
      </c>
      <c r="G33" s="7">
        <v>431899</v>
      </c>
      <c r="H33" s="7">
        <v>486232</v>
      </c>
      <c r="I33" s="7">
        <v>432676</v>
      </c>
      <c r="J33" s="7">
        <v>513712</v>
      </c>
      <c r="K33" s="7">
        <v>430903</v>
      </c>
      <c r="L33" s="7">
        <v>439622</v>
      </c>
      <c r="M33" s="7">
        <v>453170</v>
      </c>
      <c r="N33" s="7">
        <v>482639</v>
      </c>
      <c r="O33" s="21">
        <v>3437439</v>
      </c>
      <c r="P33" s="24">
        <f t="shared" si="0"/>
        <v>1117996</v>
      </c>
      <c r="Q33" s="23">
        <v>473246</v>
      </c>
      <c r="R33" s="23">
        <v>415630</v>
      </c>
      <c r="S33" s="23">
        <v>572637</v>
      </c>
      <c r="T33" s="7"/>
      <c r="U33" s="7"/>
      <c r="V33" s="7"/>
      <c r="W33" s="7"/>
      <c r="X33" s="7"/>
      <c r="Y33" s="7"/>
      <c r="Z33" s="7"/>
      <c r="AA33" s="7"/>
      <c r="AB33" s="7"/>
      <c r="AC33" s="7">
        <f t="shared" si="1"/>
        <v>1461513</v>
      </c>
      <c r="AD33" s="28">
        <f t="shared" si="5"/>
        <v>1461513</v>
      </c>
      <c r="AE33" s="32">
        <f t="shared" si="6"/>
        <v>0.45325130442220107</v>
      </c>
      <c r="AF33" s="26">
        <f t="shared" si="2"/>
        <v>0.45741838576831856</v>
      </c>
      <c r="AG33" s="32">
        <f t="shared" si="3"/>
        <v>56.159105101976813</v>
      </c>
      <c r="AH33" s="32">
        <f t="shared" si="4"/>
        <v>37.775665856651344</v>
      </c>
      <c r="AI33" s="34">
        <f t="shared" si="7"/>
        <v>30.726138555057442</v>
      </c>
    </row>
    <row r="34" spans="2:35" x14ac:dyDescent="0.35">
      <c r="B34" s="5" t="s">
        <v>30</v>
      </c>
      <c r="C34" s="23">
        <v>400851</v>
      </c>
      <c r="D34" s="7">
        <v>385842</v>
      </c>
      <c r="E34" s="7">
        <v>351054</v>
      </c>
      <c r="F34" s="7">
        <v>471950</v>
      </c>
      <c r="G34" s="7">
        <v>342724</v>
      </c>
      <c r="H34" s="7">
        <v>431199</v>
      </c>
      <c r="I34" s="7">
        <v>375496</v>
      </c>
      <c r="J34" s="7">
        <v>356766</v>
      </c>
      <c r="K34" s="7">
        <v>361452</v>
      </c>
      <c r="L34" s="7">
        <v>373804</v>
      </c>
      <c r="M34" s="7">
        <v>377009</v>
      </c>
      <c r="N34" s="7">
        <v>402849</v>
      </c>
      <c r="O34" s="21">
        <v>4008524</v>
      </c>
      <c r="P34" s="24">
        <f t="shared" si="0"/>
        <v>1137747</v>
      </c>
      <c r="Q34" s="23">
        <v>411096</v>
      </c>
      <c r="R34" s="23">
        <v>330162</v>
      </c>
      <c r="S34" s="23">
        <v>439708</v>
      </c>
      <c r="T34" s="7"/>
      <c r="U34" s="7"/>
      <c r="V34" s="7"/>
      <c r="W34" s="7"/>
      <c r="X34" s="7"/>
      <c r="Y34" s="7"/>
      <c r="Z34" s="7"/>
      <c r="AA34" s="7"/>
      <c r="AB34" s="7"/>
      <c r="AC34" s="7">
        <f t="shared" si="1"/>
        <v>1180966</v>
      </c>
      <c r="AD34" s="28">
        <f t="shared" si="5"/>
        <v>1180966</v>
      </c>
      <c r="AE34" s="32">
        <f t="shared" si="6"/>
        <v>0.34803588410262903</v>
      </c>
      <c r="AF34" s="26">
        <f t="shared" si="2"/>
        <v>0.36961392842025226</v>
      </c>
      <c r="AG34" s="32">
        <f t="shared" si="3"/>
        <v>25.253664678368569</v>
      </c>
      <c r="AH34" s="32">
        <f t="shared" si="4"/>
        <v>33.179469472561955</v>
      </c>
      <c r="AI34" s="34">
        <f t="shared" si="7"/>
        <v>3.798647678262391</v>
      </c>
    </row>
    <row r="35" spans="2:35" x14ac:dyDescent="0.35">
      <c r="B35" s="5" t="s">
        <v>31</v>
      </c>
      <c r="C35" s="23">
        <v>313240</v>
      </c>
      <c r="D35" s="7">
        <v>275693</v>
      </c>
      <c r="E35" s="7">
        <v>266268</v>
      </c>
      <c r="F35" s="7">
        <v>375432</v>
      </c>
      <c r="G35" s="7">
        <v>279052</v>
      </c>
      <c r="H35" s="7">
        <v>290252</v>
      </c>
      <c r="I35" s="7">
        <v>303821</v>
      </c>
      <c r="J35" s="7">
        <v>258187</v>
      </c>
      <c r="K35" s="7">
        <v>283902</v>
      </c>
      <c r="L35" s="7">
        <v>300887</v>
      </c>
      <c r="M35" s="7">
        <v>314690</v>
      </c>
      <c r="N35" s="7">
        <v>343320</v>
      </c>
      <c r="O35" s="21">
        <v>1856446</v>
      </c>
      <c r="P35" s="24">
        <f t="shared" si="0"/>
        <v>855201</v>
      </c>
      <c r="Q35" s="23">
        <v>343252</v>
      </c>
      <c r="R35" s="23">
        <v>289124</v>
      </c>
      <c r="S35" s="23">
        <v>383545</v>
      </c>
      <c r="T35" s="7"/>
      <c r="U35" s="7"/>
      <c r="V35" s="7"/>
      <c r="W35" s="7"/>
      <c r="X35" s="7"/>
      <c r="Y35" s="7"/>
      <c r="Z35" s="7"/>
      <c r="AA35" s="7"/>
      <c r="AB35" s="7"/>
      <c r="AC35" s="7">
        <f t="shared" si="1"/>
        <v>1015921</v>
      </c>
      <c r="AD35" s="28">
        <f t="shared" si="5"/>
        <v>1015921</v>
      </c>
      <c r="AE35" s="32">
        <f t="shared" si="6"/>
        <v>0.30358197523843744</v>
      </c>
      <c r="AF35" s="26">
        <f t="shared" si="2"/>
        <v>0.31795881657442387</v>
      </c>
      <c r="AG35" s="32">
        <f t="shared" si="3"/>
        <v>44.044721859179475</v>
      </c>
      <c r="AH35" s="32">
        <f t="shared" si="4"/>
        <v>32.657614034116847</v>
      </c>
      <c r="AI35" s="34">
        <f t="shared" si="7"/>
        <v>18.793242758135221</v>
      </c>
    </row>
    <row r="36" spans="2:35" x14ac:dyDescent="0.35">
      <c r="B36" s="5" t="s">
        <v>32</v>
      </c>
      <c r="C36" s="23">
        <v>310296</v>
      </c>
      <c r="D36" s="7">
        <v>280887</v>
      </c>
      <c r="E36" s="7">
        <v>284913</v>
      </c>
      <c r="F36" s="7">
        <v>337719</v>
      </c>
      <c r="G36" s="7">
        <v>277836</v>
      </c>
      <c r="H36" s="7">
        <v>295094</v>
      </c>
      <c r="I36" s="7">
        <v>292487</v>
      </c>
      <c r="J36" s="7">
        <v>288957</v>
      </c>
      <c r="K36" s="7">
        <v>270095</v>
      </c>
      <c r="L36" s="7">
        <v>281310</v>
      </c>
      <c r="M36" s="7">
        <v>272367</v>
      </c>
      <c r="N36" s="7">
        <v>339820</v>
      </c>
      <c r="O36" s="21">
        <v>2219681</v>
      </c>
      <c r="P36" s="24">
        <f t="shared" si="0"/>
        <v>876096</v>
      </c>
      <c r="Q36" s="23">
        <v>343728</v>
      </c>
      <c r="R36" s="23">
        <v>270587</v>
      </c>
      <c r="S36" s="23">
        <v>366211</v>
      </c>
      <c r="T36" s="7"/>
      <c r="U36" s="7"/>
      <c r="V36" s="7"/>
      <c r="W36" s="7"/>
      <c r="X36" s="7"/>
      <c r="Y36" s="7"/>
      <c r="Z36" s="7"/>
      <c r="AA36" s="7"/>
      <c r="AB36" s="7"/>
      <c r="AC36" s="7">
        <f t="shared" si="1"/>
        <v>980526</v>
      </c>
      <c r="AD36" s="28">
        <f t="shared" si="5"/>
        <v>980526</v>
      </c>
      <c r="AE36" s="32">
        <f t="shared" si="6"/>
        <v>0.28986183820423528</v>
      </c>
      <c r="AF36" s="26">
        <f t="shared" si="2"/>
        <v>0.30688103364381047</v>
      </c>
      <c r="AG36" s="32">
        <f t="shared" si="3"/>
        <v>28.53432451309698</v>
      </c>
      <c r="AH36" s="32">
        <f t="shared" si="4"/>
        <v>35.339465680169404</v>
      </c>
      <c r="AI36" s="34">
        <f t="shared" si="7"/>
        <v>11.919926583388122</v>
      </c>
    </row>
    <row r="37" spans="2:35" x14ac:dyDescent="0.35">
      <c r="B37" s="5" t="s">
        <v>33</v>
      </c>
      <c r="C37" s="23">
        <v>80903</v>
      </c>
      <c r="D37" s="7">
        <v>76976</v>
      </c>
      <c r="E37" s="7">
        <v>71624</v>
      </c>
      <c r="F37" s="7">
        <v>74778</v>
      </c>
      <c r="G37" s="7">
        <v>60285</v>
      </c>
      <c r="H37" s="7">
        <v>68353</v>
      </c>
      <c r="I37" s="7">
        <v>77289</v>
      </c>
      <c r="J37" s="7">
        <v>71437</v>
      </c>
      <c r="K37" s="7">
        <v>69313</v>
      </c>
      <c r="L37" s="7">
        <v>85623</v>
      </c>
      <c r="M37" s="7">
        <v>76288</v>
      </c>
      <c r="N37" s="7">
        <v>87653</v>
      </c>
      <c r="O37" s="21">
        <v>419157</v>
      </c>
      <c r="P37" s="24">
        <f t="shared" si="0"/>
        <v>229503</v>
      </c>
      <c r="Q37" s="23">
        <v>82101</v>
      </c>
      <c r="R37" s="23">
        <v>70375</v>
      </c>
      <c r="S37" s="23">
        <v>81180</v>
      </c>
      <c r="T37" s="7"/>
      <c r="U37" s="7"/>
      <c r="V37" s="7"/>
      <c r="W37" s="7"/>
      <c r="X37" s="7"/>
      <c r="Y37" s="7"/>
      <c r="Z37" s="7"/>
      <c r="AA37" s="7"/>
      <c r="AB37" s="7"/>
      <c r="AC37" s="7">
        <f t="shared" si="1"/>
        <v>233656</v>
      </c>
      <c r="AD37" s="28">
        <f t="shared" si="5"/>
        <v>233656</v>
      </c>
      <c r="AE37" s="32">
        <f t="shared" si="6"/>
        <v>6.425526274584821E-2</v>
      </c>
      <c r="AF37" s="26">
        <f t="shared" si="2"/>
        <v>7.3128703162464004E-2</v>
      </c>
      <c r="AG37" s="32">
        <f t="shared" si="3"/>
        <v>13.341896570981792</v>
      </c>
      <c r="AH37" s="32">
        <f t="shared" si="4"/>
        <v>15.353463587921848</v>
      </c>
      <c r="AI37" s="34">
        <f t="shared" si="7"/>
        <v>1.8095624022343932</v>
      </c>
    </row>
    <row r="38" spans="2:35" x14ac:dyDescent="0.35">
      <c r="B38" s="5" t="s">
        <v>34</v>
      </c>
      <c r="C38" s="23">
        <v>144575</v>
      </c>
      <c r="D38" s="7">
        <v>123065</v>
      </c>
      <c r="E38" s="7">
        <v>130684</v>
      </c>
      <c r="F38" s="7">
        <v>143347</v>
      </c>
      <c r="G38" s="7">
        <v>130033</v>
      </c>
      <c r="H38" s="7">
        <v>136113</v>
      </c>
      <c r="I38" s="7">
        <v>142588</v>
      </c>
      <c r="J38" s="7">
        <v>137060</v>
      </c>
      <c r="K38" s="7">
        <v>136521</v>
      </c>
      <c r="L38" s="7">
        <v>144217</v>
      </c>
      <c r="M38" s="7">
        <v>149135</v>
      </c>
      <c r="N38" s="7">
        <v>172157</v>
      </c>
      <c r="O38" s="21">
        <v>917412</v>
      </c>
      <c r="P38" s="24">
        <f t="shared" si="0"/>
        <v>398324</v>
      </c>
      <c r="Q38" s="23">
        <v>168869</v>
      </c>
      <c r="R38" s="23">
        <v>132948</v>
      </c>
      <c r="S38" s="23">
        <v>152885</v>
      </c>
      <c r="T38" s="7"/>
      <c r="U38" s="7"/>
      <c r="V38" s="7"/>
      <c r="W38" s="7"/>
      <c r="X38" s="7"/>
      <c r="Y38" s="7"/>
      <c r="Z38" s="7"/>
      <c r="AA38" s="7"/>
      <c r="AB38" s="7"/>
      <c r="AC38" s="7">
        <f t="shared" si="1"/>
        <v>454702</v>
      </c>
      <c r="AD38" s="28">
        <f t="shared" si="5"/>
        <v>454702</v>
      </c>
      <c r="AE38" s="32">
        <f t="shared" si="6"/>
        <v>0.12101091210764972</v>
      </c>
      <c r="AF38" s="26">
        <f t="shared" si="2"/>
        <v>0.14231077988743582</v>
      </c>
      <c r="AG38" s="32">
        <f t="shared" si="3"/>
        <v>16.988307673471887</v>
      </c>
      <c r="AH38" s="32">
        <f t="shared" si="4"/>
        <v>14.996088696332402</v>
      </c>
      <c r="AI38" s="34">
        <f t="shared" si="7"/>
        <v>14.153804440606141</v>
      </c>
    </row>
    <row r="39" spans="2:35" x14ac:dyDescent="0.35">
      <c r="B39" s="5" t="s">
        <v>35</v>
      </c>
      <c r="C39" s="23">
        <v>247409</v>
      </c>
      <c r="D39" s="7">
        <v>193885</v>
      </c>
      <c r="E39" s="7">
        <v>189094</v>
      </c>
      <c r="F39" s="7">
        <v>222813</v>
      </c>
      <c r="G39" s="7">
        <v>218825</v>
      </c>
      <c r="H39" s="7">
        <v>249893</v>
      </c>
      <c r="I39" s="7">
        <v>268807</v>
      </c>
      <c r="J39" s="7">
        <v>246796</v>
      </c>
      <c r="K39" s="7">
        <v>241024</v>
      </c>
      <c r="L39" s="7">
        <v>239813</v>
      </c>
      <c r="M39" s="7">
        <v>253887</v>
      </c>
      <c r="N39" s="7">
        <v>283161</v>
      </c>
      <c r="O39" s="21">
        <v>1269706</v>
      </c>
      <c r="P39" s="24">
        <f t="shared" si="0"/>
        <v>630388</v>
      </c>
      <c r="Q39" s="23">
        <v>285708</v>
      </c>
      <c r="R39" s="23">
        <v>228431</v>
      </c>
      <c r="S39" s="23">
        <v>260842</v>
      </c>
      <c r="T39" s="7"/>
      <c r="U39" s="7"/>
      <c r="V39" s="7"/>
      <c r="W39" s="7"/>
      <c r="X39" s="7"/>
      <c r="Y39" s="7"/>
      <c r="Z39" s="7"/>
      <c r="AA39" s="7"/>
      <c r="AB39" s="7"/>
      <c r="AC39" s="7">
        <f t="shared" si="1"/>
        <v>774981</v>
      </c>
      <c r="AD39" s="28">
        <f>SUM(Q39:AB39)</f>
        <v>774981</v>
      </c>
      <c r="AE39" s="32">
        <f t="shared" si="6"/>
        <v>0.2064605967621648</v>
      </c>
      <c r="AF39" s="26">
        <f t="shared" si="2"/>
        <v>0.24255039676083437</v>
      </c>
      <c r="AG39" s="32">
        <f t="shared" si="3"/>
        <v>37.943033623488844</v>
      </c>
      <c r="AH39" s="32">
        <f t="shared" si="4"/>
        <v>14.188529577859397</v>
      </c>
      <c r="AI39" s="34">
        <f t="shared" si="7"/>
        <v>22.93714347354328</v>
      </c>
    </row>
    <row r="40" spans="2:35" x14ac:dyDescent="0.35">
      <c r="B40" s="5" t="s">
        <v>36</v>
      </c>
      <c r="C40" s="23">
        <v>28904</v>
      </c>
      <c r="D40" s="7">
        <v>24083</v>
      </c>
      <c r="E40" s="7">
        <v>31420</v>
      </c>
      <c r="F40" s="7">
        <v>32860</v>
      </c>
      <c r="G40" s="7">
        <v>26497</v>
      </c>
      <c r="H40" s="7">
        <v>29870</v>
      </c>
      <c r="I40" s="7">
        <v>34839</v>
      </c>
      <c r="J40" s="7">
        <v>32807</v>
      </c>
      <c r="K40" s="7">
        <v>33071</v>
      </c>
      <c r="L40" s="7">
        <v>33672</v>
      </c>
      <c r="M40" s="7">
        <v>35543</v>
      </c>
      <c r="N40" s="7">
        <v>36288</v>
      </c>
      <c r="O40" s="21">
        <v>178819</v>
      </c>
      <c r="P40" s="24">
        <f t="shared" si="0"/>
        <v>84407</v>
      </c>
      <c r="Q40" s="23">
        <v>31387</v>
      </c>
      <c r="R40" s="23">
        <v>24613</v>
      </c>
      <c r="S40" s="23">
        <v>31535</v>
      </c>
      <c r="T40" s="7"/>
      <c r="U40" s="7"/>
      <c r="V40" s="7"/>
      <c r="W40" s="7"/>
      <c r="X40" s="7"/>
      <c r="Y40" s="7"/>
      <c r="Z40" s="7"/>
      <c r="AA40" s="7"/>
      <c r="AB40" s="7"/>
      <c r="AC40" s="7">
        <f t="shared" si="1"/>
        <v>87535</v>
      </c>
      <c r="AD40" s="28">
        <f t="shared" si="5"/>
        <v>87535</v>
      </c>
      <c r="AE40" s="32">
        <f t="shared" si="6"/>
        <v>2.4960454677141204E-2</v>
      </c>
      <c r="AF40" s="26">
        <f t="shared" si="2"/>
        <v>2.7396347756215488E-2</v>
      </c>
      <c r="AG40" s="32">
        <f t="shared" si="3"/>
        <v>0.36600891152132398</v>
      </c>
      <c r="AH40" s="32">
        <f t="shared" si="4"/>
        <v>28.123349449477921</v>
      </c>
      <c r="AI40" s="34">
        <f t="shared" si="7"/>
        <v>3.7058537798997713</v>
      </c>
    </row>
    <row r="41" spans="2:35" x14ac:dyDescent="0.35">
      <c r="B41" s="5" t="s">
        <v>37</v>
      </c>
      <c r="C41" s="23">
        <v>79813</v>
      </c>
      <c r="D41" s="7">
        <v>63870</v>
      </c>
      <c r="E41" s="7">
        <v>61903</v>
      </c>
      <c r="F41" s="7">
        <v>75801</v>
      </c>
      <c r="G41" s="7">
        <v>71634</v>
      </c>
      <c r="H41" s="7">
        <v>69478</v>
      </c>
      <c r="I41" s="7">
        <v>87135</v>
      </c>
      <c r="J41" s="7">
        <v>67124</v>
      </c>
      <c r="K41" s="7">
        <v>64410</v>
      </c>
      <c r="L41" s="7">
        <v>78896</v>
      </c>
      <c r="M41" s="7">
        <v>89177</v>
      </c>
      <c r="N41" s="7">
        <v>95843</v>
      </c>
      <c r="O41" s="21">
        <v>441438</v>
      </c>
      <c r="P41" s="24">
        <f t="shared" si="0"/>
        <v>205586</v>
      </c>
      <c r="Q41" s="23">
        <v>96813</v>
      </c>
      <c r="R41" s="23">
        <v>65216</v>
      </c>
      <c r="S41" s="23">
        <v>71228</v>
      </c>
      <c r="T41" s="7"/>
      <c r="U41" s="7"/>
      <c r="V41" s="7"/>
      <c r="W41" s="7"/>
      <c r="X41" s="7"/>
      <c r="Y41" s="7"/>
      <c r="Z41" s="7"/>
      <c r="AA41" s="7"/>
      <c r="AB41" s="7"/>
      <c r="AC41" s="7">
        <f t="shared" si="1"/>
        <v>233257</v>
      </c>
      <c r="AD41" s="28">
        <f t="shared" si="5"/>
        <v>233257</v>
      </c>
      <c r="AE41" s="32">
        <f t="shared" si="6"/>
        <v>5.6378096265844745E-2</v>
      </c>
      <c r="AF41" s="26">
        <f t="shared" si="2"/>
        <v>7.3003825767653588E-2</v>
      </c>
      <c r="AG41" s="32">
        <f t="shared" si="3"/>
        <v>15.063890279954123</v>
      </c>
      <c r="AH41" s="32">
        <f t="shared" si="4"/>
        <v>9.2185966633954859</v>
      </c>
      <c r="AI41" s="34">
        <f t="shared" si="7"/>
        <v>13.459574095512341</v>
      </c>
    </row>
    <row r="42" spans="2:35" ht="16" thickBot="1" x14ac:dyDescent="0.4">
      <c r="B42" s="5" t="s">
        <v>38</v>
      </c>
      <c r="C42" s="23">
        <v>61387</v>
      </c>
      <c r="D42" s="7">
        <v>45561</v>
      </c>
      <c r="E42" s="7">
        <v>62979</v>
      </c>
      <c r="F42" s="7">
        <v>55386</v>
      </c>
      <c r="G42" s="7">
        <v>63998</v>
      </c>
      <c r="H42" s="7">
        <v>63471</v>
      </c>
      <c r="I42" s="7">
        <v>72101</v>
      </c>
      <c r="J42" s="7">
        <v>75618</v>
      </c>
      <c r="K42" s="7">
        <v>68658</v>
      </c>
      <c r="L42" s="7">
        <v>83846</v>
      </c>
      <c r="M42" s="7">
        <v>89454</v>
      </c>
      <c r="N42" s="7">
        <v>95454</v>
      </c>
      <c r="O42" s="21">
        <v>379292</v>
      </c>
      <c r="P42" s="48">
        <f t="shared" si="0"/>
        <v>169927</v>
      </c>
      <c r="Q42" s="23">
        <v>83132</v>
      </c>
      <c r="R42" s="23">
        <v>57579</v>
      </c>
      <c r="S42" s="23">
        <v>64510</v>
      </c>
      <c r="T42" s="7"/>
      <c r="U42" s="7"/>
      <c r="V42" s="7"/>
      <c r="W42" s="7"/>
      <c r="X42" s="7"/>
      <c r="Y42" s="7"/>
      <c r="Z42" s="7"/>
      <c r="AA42" s="7"/>
      <c r="AB42" s="7"/>
      <c r="AC42" s="7">
        <f t="shared" si="1"/>
        <v>205221</v>
      </c>
      <c r="AD42" s="28">
        <f t="shared" si="5"/>
        <v>205221</v>
      </c>
      <c r="AE42" s="32">
        <f t="shared" si="6"/>
        <v>5.1060692285472629E-2</v>
      </c>
      <c r="AF42" s="26">
        <f t="shared" si="2"/>
        <v>6.4229232682678924E-2</v>
      </c>
      <c r="AG42" s="32">
        <f t="shared" si="3"/>
        <v>2.4309690531764558</v>
      </c>
      <c r="AH42" s="32">
        <f t="shared" si="4"/>
        <v>12.037374737317425</v>
      </c>
      <c r="AI42" s="34">
        <f>(AD42-P42)/P42*100</f>
        <v>20.770095393904441</v>
      </c>
    </row>
    <row r="43" spans="2:35" ht="16" thickBot="1" x14ac:dyDescent="0.4">
      <c r="B43" s="17" t="s">
        <v>39</v>
      </c>
      <c r="C43" s="10">
        <f>SUM(C5:C42)</f>
        <v>102998948</v>
      </c>
      <c r="D43" s="10">
        <f t="shared" ref="D43:N43" si="8">SUM(D5:D42)</f>
        <v>90497800</v>
      </c>
      <c r="E43" s="10">
        <f t="shared" si="8"/>
        <v>88909481</v>
      </c>
      <c r="F43" s="10">
        <f t="shared" si="8"/>
        <v>128587806</v>
      </c>
      <c r="G43" s="10">
        <f t="shared" si="8"/>
        <v>97673863</v>
      </c>
      <c r="H43" s="10">
        <f t="shared" si="8"/>
        <v>105115881</v>
      </c>
      <c r="I43" s="10">
        <f t="shared" si="8"/>
        <v>100197984</v>
      </c>
      <c r="J43" s="10">
        <f t="shared" si="8"/>
        <v>93566867</v>
      </c>
      <c r="K43" s="10">
        <f t="shared" si="8"/>
        <v>94355423</v>
      </c>
      <c r="L43" s="10">
        <f t="shared" si="8"/>
        <v>96001666</v>
      </c>
      <c r="M43" s="10">
        <f t="shared" si="8"/>
        <v>96448709</v>
      </c>
      <c r="N43" s="10">
        <f t="shared" si="8"/>
        <v>105978131</v>
      </c>
      <c r="O43" s="10">
        <v>1021084031</v>
      </c>
      <c r="P43" s="12">
        <f>SUM(P5:P42)</f>
        <v>282406229</v>
      </c>
      <c r="Q43" s="10">
        <f>SUM(Q5:Q42)</f>
        <v>102038288</v>
      </c>
      <c r="R43" s="10">
        <f>SUM(R5:R42)</f>
        <v>91135258</v>
      </c>
      <c r="S43" s="10">
        <f>SUM(S5:S42)</f>
        <v>126339846</v>
      </c>
      <c r="T43" s="10">
        <v>128587806</v>
      </c>
      <c r="U43" s="10">
        <v>97673863</v>
      </c>
      <c r="V43" s="10">
        <v>105115881</v>
      </c>
      <c r="W43" s="10">
        <f>SUM(W5:W42)</f>
        <v>0</v>
      </c>
      <c r="X43" s="10">
        <f>SUM(X5:X42)</f>
        <v>0</v>
      </c>
      <c r="Y43" s="10">
        <f>SUM(Y5:Y42)</f>
        <v>0</v>
      </c>
      <c r="Z43" s="10">
        <f>SUM(Z5:Z42)</f>
        <v>0</v>
      </c>
      <c r="AA43" s="10">
        <f t="shared" ref="AA43:AC43" si="9">SUM(AA5:AA42)</f>
        <v>0</v>
      </c>
      <c r="AB43" s="10">
        <f t="shared" si="9"/>
        <v>0</v>
      </c>
      <c r="AC43" s="10">
        <f t="shared" si="9"/>
        <v>319513392</v>
      </c>
      <c r="AD43" s="12">
        <f>SUM(AD5:AD42)</f>
        <v>319513392</v>
      </c>
      <c r="AE43" s="30">
        <f>S43/$S$43*100</f>
        <v>100</v>
      </c>
      <c r="AF43" s="16">
        <f>AD43/$AD$43*100</f>
        <v>100</v>
      </c>
      <c r="AG43" s="30">
        <f>(S43-E43)/E43*100</f>
        <v>42.099407823559339</v>
      </c>
      <c r="AH43" s="30">
        <f>(S43-R43)/R43*100</f>
        <v>38.628944244608384</v>
      </c>
      <c r="AI43" s="19">
        <f>(AD43-P43)/P43*100</f>
        <v>13.13964041494283</v>
      </c>
    </row>
    <row r="44" spans="2:35" ht="16" thickTop="1" x14ac:dyDescent="0.35"/>
    <row r="45" spans="2:35" x14ac:dyDescent="0.4">
      <c r="B45" s="39" t="s">
        <v>40</v>
      </c>
      <c r="C45" s="40"/>
      <c r="D45" s="40"/>
    </row>
    <row r="46" spans="2:35" x14ac:dyDescent="0.35">
      <c r="B46" s="8" t="s">
        <v>41</v>
      </c>
      <c r="C46" s="9"/>
      <c r="D46" s="9"/>
    </row>
  </sheetData>
  <mergeCells count="10">
    <mergeCell ref="AG3:AI3"/>
    <mergeCell ref="B45:D45"/>
    <mergeCell ref="C3:N3"/>
    <mergeCell ref="O3:O4"/>
    <mergeCell ref="Q3:AB3"/>
    <mergeCell ref="AC3:AC4"/>
    <mergeCell ref="B3:B4"/>
    <mergeCell ref="P3:P4"/>
    <mergeCell ref="AD3:AD4"/>
    <mergeCell ref="AE3:AF3"/>
  </mergeCells>
  <printOptions verticalCentered="1"/>
  <pageMargins left="0.70866141732283472" right="0.70866141732283472" top="0.35433070866141736" bottom="0.35433070866141736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Tujuan</vt:lpstr>
      <vt:lpstr>Tujuan!Print_Area</vt:lpstr>
      <vt:lpstr>Tujuan!Print_Titles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Adimas Raka</dc:creator>
  <cp:lastModifiedBy>Ryan Ardias</cp:lastModifiedBy>
  <cp:lastPrinted>2026-04-01T07:31:09Z</cp:lastPrinted>
  <dcterms:created xsi:type="dcterms:W3CDTF">2025-03-06T08:02:10Z</dcterms:created>
  <dcterms:modified xsi:type="dcterms:W3CDTF">2026-05-04T06:24:22Z</dcterms:modified>
</cp:coreProperties>
</file>