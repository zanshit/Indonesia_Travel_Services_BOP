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ryana\iCloudDrive\Kementerian Pariwisata\Biro Data dan Sistem Informasi\2026\Wisatawan Nusantara\Maret\"/>
    </mc:Choice>
  </mc:AlternateContent>
  <xr:revisionPtr revIDLastSave="0" documentId="13_ncr:1_{2C2A0F5C-383D-4DB3-9463-C42216BFBDEE}" xr6:coauthVersionLast="47" xr6:coauthVersionMax="47" xr10:uidLastSave="{00000000-0000-0000-0000-000000000000}"/>
  <bookViews>
    <workbookView xWindow="-110" yWindow="-110" windowWidth="19420" windowHeight="11500" xr2:uid="{0D043F68-1321-48B9-BA7A-1CBDC980A652}"/>
  </bookViews>
  <sheets>
    <sheet name="Asal" sheetId="1" r:id="rId1"/>
  </sheets>
  <definedNames>
    <definedName name="\d">#REF!</definedName>
    <definedName name="\g">#REF!</definedName>
    <definedName name="\h">#N/A</definedName>
    <definedName name="\m">#REF!</definedName>
    <definedName name="\s">#REF!</definedName>
    <definedName name="__123Graph_A" hidden="1">#REF!</definedName>
    <definedName name="__123Graph_AGRAPH1" hidden="1">#REF!</definedName>
    <definedName name="__123Graph_AGRAPH2" hidden="1">#REF!</definedName>
    <definedName name="__123Graph_AGRAPH3" hidden="1">#REF!</definedName>
    <definedName name="__123Graph_X" hidden="1">#REF!</definedName>
    <definedName name="__123Graph_XGRAPH1" hidden="1">#REF!</definedName>
    <definedName name="__123Graph_XGRAPH2" hidden="1">#REF!</definedName>
    <definedName name="__123Graph_XGRAPH3" hidden="1">#REF!</definedName>
    <definedName name="_Fill">#REF!</definedName>
    <definedName name="_MatInverse_In">#REF!</definedName>
    <definedName name="_MatInverse_Out">#REF!</definedName>
    <definedName name="a">#REF!</definedName>
    <definedName name="aa">#REF!</definedName>
    <definedName name="afa">#REF!</definedName>
    <definedName name="CHKPAS">#REF!</definedName>
    <definedName name="CHKSAVE">#REF!</definedName>
    <definedName name="DOC">#REF!</definedName>
    <definedName name="ERR_LOC">#REF!</definedName>
    <definedName name="ERR_MSG">#REF!</definedName>
    <definedName name="FILENAME">#REF!</definedName>
    <definedName name="FLOPDIR">#REF!</definedName>
    <definedName name="FLOPPY">#REF!</definedName>
    <definedName name="GETFILE">#REF!</definedName>
    <definedName name="GRDIR">#REF!</definedName>
    <definedName name="HELP">#REF!</definedName>
    <definedName name="hummm">#REF!</definedName>
    <definedName name="Kategori">#REF!</definedName>
    <definedName name="MESSAGE">#REF!</definedName>
    <definedName name="MSG_CELL">#REF!</definedName>
    <definedName name="Nama_KabKota">#REF!</definedName>
    <definedName name="Nama_Provinsi">#REF!</definedName>
    <definedName name="NamaTabel">OFFSET(INDIRECT("S3R!$"&amp;#REF!&amp;"$6"),0,0,1,#REF!)</definedName>
    <definedName name="NamaTabelImplisit">OFFSET(INDIRECT("S3R!$"&amp;#REF!&amp;"$6"),0,0,1,#REF!)</definedName>
    <definedName name="NOPAS">#REF!</definedName>
    <definedName name="NOPAS3">#REF!</definedName>
    <definedName name="OLD_MSG">#REF!</definedName>
    <definedName name="PAS_MSG1">#REF!</definedName>
    <definedName name="PAS_MSG2">#REF!</definedName>
    <definedName name="PAS_MSG3">#REF!</definedName>
    <definedName name="PAUSE">#REF!</definedName>
    <definedName name="print">#REF!</definedName>
    <definedName name="_xlnm.Print_Area" localSheetId="0">Asal!$B$1:$AL$46</definedName>
    <definedName name="_xlnm.Print_Area">#REF!</definedName>
    <definedName name="Print_Area_MI">#REF!</definedName>
    <definedName name="_xlnm.Print_Titles" localSheetId="0">Asal!$1:$4</definedName>
    <definedName name="_xlnm.Print_Titles">#REF!</definedName>
    <definedName name="RESDIR">#REF!</definedName>
    <definedName name="RESTYPE">#REF!</definedName>
    <definedName name="RSVMENU">#REF!</definedName>
    <definedName name="SAVE">#REF!</definedName>
    <definedName name="SAVE_MSG">#REF!</definedName>
    <definedName name="SAVED">#REF!</definedName>
    <definedName name="SAVENGO">#REF!</definedName>
    <definedName name="Tabel">OFFSET(INDIRECT("S3R!$"&amp;#REF!&amp;"$"&amp;#REF!),0,0,1,#REF!)</definedName>
    <definedName name="TabelImplisit">OFFSET(INDIRECT("S3R!$"&amp;#REF!&amp;"$"&amp;#REF!),0,0,1,#REF!)</definedName>
    <definedName name="TabelKab">OFFSET(INDIRECT("S3R!$"&amp;#REF!&amp;"$"&amp;#REF!),0,0,1,#REF!)</definedName>
    <definedName name="TabelKabImplisit">OFFSET(INDIRECT("S3R!$"&amp;#REF!&amp;"$"&amp;#REF!),0,0,1,#REF!)</definedName>
    <definedName name="TabelKabTotal">OFFSET(INDIRECT("S3R!$"&amp;#REF!&amp;"$192"),0,0,1,#REF!)</definedName>
    <definedName name="TabelKabTotalImplisit">OFFSET(INDIRECT("S3R!$"&amp;#REF!&amp;"$333"),0,0,1,#REF!)</definedName>
    <definedName name="TabelTotal">OFFSET(INDIRECT("S3R!$"&amp;#REF!&amp;"$191"),0,0,1,#REF!)</definedName>
    <definedName name="TabelTotalImplisit">OFFSET(INDIRECT("S3R!$"&amp;#REF!&amp;"$332"),0,0,1,#REF!)</definedName>
    <definedName name="Tahun">#REF!</definedName>
    <definedName name="TEMP">#REF!</definedName>
    <definedName name="wisman1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G43" i="1" l="1"/>
  <c r="AG6" i="1"/>
  <c r="AG7" i="1"/>
  <c r="AG8" i="1"/>
  <c r="AG9" i="1"/>
  <c r="AG10" i="1"/>
  <c r="AG11" i="1"/>
  <c r="AG12" i="1"/>
  <c r="AG13" i="1"/>
  <c r="AG14" i="1"/>
  <c r="AG15" i="1"/>
  <c r="AG16" i="1"/>
  <c r="AG17" i="1"/>
  <c r="AG18" i="1"/>
  <c r="AG19" i="1"/>
  <c r="AG20" i="1"/>
  <c r="AG21" i="1"/>
  <c r="AG22" i="1"/>
  <c r="AG23" i="1"/>
  <c r="AG24" i="1"/>
  <c r="AG25" i="1"/>
  <c r="AG26" i="1"/>
  <c r="AG27" i="1"/>
  <c r="AG28" i="1"/>
  <c r="AG29" i="1"/>
  <c r="AG30" i="1"/>
  <c r="AG31" i="1"/>
  <c r="AG32" i="1"/>
  <c r="AG33" i="1"/>
  <c r="AG34" i="1"/>
  <c r="AG35" i="1"/>
  <c r="AG36" i="1"/>
  <c r="AG37" i="1"/>
  <c r="AG38" i="1"/>
  <c r="AG39" i="1"/>
  <c r="AG40" i="1"/>
  <c r="AG41" i="1"/>
  <c r="AG42" i="1"/>
  <c r="AG5" i="1"/>
  <c r="AH43" i="1"/>
  <c r="AH6" i="1"/>
  <c r="AH7" i="1"/>
  <c r="AH8" i="1"/>
  <c r="AH9" i="1"/>
  <c r="AH10" i="1"/>
  <c r="AH11" i="1"/>
  <c r="AH12" i="1"/>
  <c r="AH13" i="1"/>
  <c r="AH14" i="1"/>
  <c r="AH15" i="1"/>
  <c r="AH16" i="1"/>
  <c r="AH17" i="1"/>
  <c r="AH18" i="1"/>
  <c r="AH19" i="1"/>
  <c r="AH20" i="1"/>
  <c r="AH21" i="1"/>
  <c r="AH22" i="1"/>
  <c r="AH23" i="1"/>
  <c r="AH24" i="1"/>
  <c r="AH25" i="1"/>
  <c r="AH26" i="1"/>
  <c r="AH27" i="1"/>
  <c r="AH28" i="1"/>
  <c r="AH29" i="1"/>
  <c r="AH30" i="1"/>
  <c r="AH31" i="1"/>
  <c r="AH32" i="1"/>
  <c r="AH33" i="1"/>
  <c r="AH34" i="1"/>
  <c r="AH35" i="1"/>
  <c r="AH36" i="1"/>
  <c r="AH37" i="1"/>
  <c r="AH38" i="1"/>
  <c r="AH39" i="1"/>
  <c r="AH40" i="1"/>
  <c r="AH41" i="1"/>
  <c r="AH42" i="1"/>
  <c r="AH5" i="1"/>
  <c r="AE5" i="1"/>
  <c r="AE6" i="1"/>
  <c r="AE7" i="1"/>
  <c r="AE8" i="1"/>
  <c r="AE9" i="1"/>
  <c r="AE10" i="1"/>
  <c r="AE11" i="1"/>
  <c r="AE12" i="1"/>
  <c r="AE13" i="1"/>
  <c r="AE14" i="1"/>
  <c r="AE15" i="1"/>
  <c r="AE16" i="1"/>
  <c r="AE17" i="1"/>
  <c r="AE18" i="1"/>
  <c r="AE19" i="1"/>
  <c r="AE20" i="1"/>
  <c r="AE21" i="1"/>
  <c r="AE22" i="1"/>
  <c r="AE23" i="1"/>
  <c r="AE24" i="1"/>
  <c r="AE25" i="1"/>
  <c r="AE26" i="1"/>
  <c r="AE27" i="1"/>
  <c r="AE28" i="1"/>
  <c r="AE29" i="1"/>
  <c r="AE30" i="1"/>
  <c r="AE31" i="1"/>
  <c r="AE32" i="1"/>
  <c r="AE33" i="1"/>
  <c r="AE34" i="1"/>
  <c r="AE35" i="1"/>
  <c r="AE36" i="1"/>
  <c r="AE37" i="1"/>
  <c r="AE38" i="1"/>
  <c r="AE39" i="1"/>
  <c r="AE40" i="1"/>
  <c r="AE41" i="1"/>
  <c r="AE42" i="1"/>
  <c r="P6" i="1"/>
  <c r="P43" i="1" s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5" i="1"/>
  <c r="AE43" i="1"/>
  <c r="AC7" i="1"/>
  <c r="AC8" i="1"/>
  <c r="AC9" i="1"/>
  <c r="AC10" i="1"/>
  <c r="AC11" i="1"/>
  <c r="AC12" i="1"/>
  <c r="AC13" i="1"/>
  <c r="AC14" i="1"/>
  <c r="AC15" i="1"/>
  <c r="AC16" i="1"/>
  <c r="AC17" i="1"/>
  <c r="AC18" i="1"/>
  <c r="AC19" i="1"/>
  <c r="AC20" i="1"/>
  <c r="AC21" i="1"/>
  <c r="AC22" i="1"/>
  <c r="AC23" i="1"/>
  <c r="AC24" i="1"/>
  <c r="AC25" i="1"/>
  <c r="AC26" i="1"/>
  <c r="AC27" i="1"/>
  <c r="AC28" i="1"/>
  <c r="AC29" i="1"/>
  <c r="AC30" i="1"/>
  <c r="AC31" i="1"/>
  <c r="AC32" i="1"/>
  <c r="AC33" i="1"/>
  <c r="AC34" i="1"/>
  <c r="AC35" i="1"/>
  <c r="AC36" i="1"/>
  <c r="AC37" i="1"/>
  <c r="AC38" i="1"/>
  <c r="AC39" i="1"/>
  <c r="AC40" i="1"/>
  <c r="AC41" i="1"/>
  <c r="AC42" i="1"/>
  <c r="AC6" i="1"/>
  <c r="AD6" i="1"/>
  <c r="AC5" i="1"/>
  <c r="AD7" i="1"/>
  <c r="AD8" i="1"/>
  <c r="AD9" i="1"/>
  <c r="AD10" i="1"/>
  <c r="AD11" i="1"/>
  <c r="AD12" i="1"/>
  <c r="AD13" i="1"/>
  <c r="AD14" i="1"/>
  <c r="AD15" i="1"/>
  <c r="AD16" i="1"/>
  <c r="AD17" i="1"/>
  <c r="AD18" i="1"/>
  <c r="AD19" i="1"/>
  <c r="AD20" i="1"/>
  <c r="AD21" i="1"/>
  <c r="AD22" i="1"/>
  <c r="AD23" i="1"/>
  <c r="AD24" i="1"/>
  <c r="AD25" i="1"/>
  <c r="AD26" i="1"/>
  <c r="AD27" i="1"/>
  <c r="AD28" i="1"/>
  <c r="AD29" i="1"/>
  <c r="AD30" i="1"/>
  <c r="AD31" i="1"/>
  <c r="AD32" i="1"/>
  <c r="AD33" i="1"/>
  <c r="AD34" i="1"/>
  <c r="AD35" i="1"/>
  <c r="AD36" i="1"/>
  <c r="AD37" i="1"/>
  <c r="AD38" i="1"/>
  <c r="AD39" i="1"/>
  <c r="AD40" i="1"/>
  <c r="AD41" i="1"/>
  <c r="AD42" i="1"/>
  <c r="AD5" i="1"/>
  <c r="AB43" i="1"/>
  <c r="AA43" i="1"/>
  <c r="Z43" i="1"/>
  <c r="Y43" i="1"/>
  <c r="W43" i="1"/>
  <c r="R43" i="1"/>
  <c r="S43" i="1"/>
  <c r="T43" i="1"/>
  <c r="U43" i="1"/>
  <c r="V43" i="1"/>
  <c r="Q43" i="1"/>
  <c r="O43" i="1"/>
  <c r="N43" i="1"/>
  <c r="D43" i="1"/>
  <c r="E43" i="1"/>
  <c r="F43" i="1"/>
  <c r="G43" i="1"/>
  <c r="H43" i="1"/>
  <c r="I43" i="1"/>
  <c r="J43" i="1"/>
  <c r="K43" i="1"/>
  <c r="L43" i="1"/>
  <c r="M43" i="1"/>
  <c r="C43" i="1"/>
  <c r="AI5" i="1" l="1"/>
  <c r="AD43" i="1"/>
  <c r="AF6" i="1" s="1"/>
  <c r="AI43" i="1"/>
  <c r="AC43" i="1"/>
  <c r="AI10" i="1"/>
  <c r="X43" i="1"/>
  <c r="AI40" i="1"/>
  <c r="AI39" i="1"/>
  <c r="AI38" i="1"/>
  <c r="AI24" i="1"/>
  <c r="AI22" i="1"/>
  <c r="AI15" i="1"/>
  <c r="AI14" i="1"/>
  <c r="AI8" i="1"/>
  <c r="AI6" i="1"/>
  <c r="AF43" i="1" l="1"/>
  <c r="AF5" i="1"/>
  <c r="AF26" i="1"/>
  <c r="AF18" i="1"/>
  <c r="AF38" i="1"/>
  <c r="AF37" i="1"/>
  <c r="AF23" i="1"/>
  <c r="AF22" i="1"/>
  <c r="AF25" i="1"/>
  <c r="AF8" i="1"/>
  <c r="AF24" i="1"/>
  <c r="AF14" i="1"/>
  <c r="AF33" i="1"/>
  <c r="AF32" i="1"/>
  <c r="AF30" i="1"/>
  <c r="AF12" i="1"/>
  <c r="AF29" i="1"/>
  <c r="AF10" i="1"/>
  <c r="AF31" i="1"/>
  <c r="AF13" i="1"/>
  <c r="AF36" i="1"/>
  <c r="AF28" i="1"/>
  <c r="AF35" i="1"/>
  <c r="AF21" i="1"/>
  <c r="AF11" i="1"/>
  <c r="AF34" i="1"/>
  <c r="AF20" i="1"/>
  <c r="AF19" i="1"/>
  <c r="AF15" i="1"/>
  <c r="AF16" i="1"/>
  <c r="AF17" i="1"/>
  <c r="AF27" i="1"/>
  <c r="AF42" i="1"/>
  <c r="AF7" i="1"/>
  <c r="AI19" i="1"/>
  <c r="AF41" i="1"/>
  <c r="AF9" i="1"/>
  <c r="AF40" i="1"/>
  <c r="AF39" i="1"/>
  <c r="AI35" i="1"/>
  <c r="AI34" i="1"/>
  <c r="AI20" i="1"/>
  <c r="AI21" i="1"/>
  <c r="AI37" i="1"/>
  <c r="AI7" i="1"/>
  <c r="AI23" i="1"/>
  <c r="AI13" i="1"/>
  <c r="AI9" i="1"/>
  <c r="AI42" i="1"/>
  <c r="AI25" i="1"/>
  <c r="AI30" i="1"/>
  <c r="AI41" i="1"/>
  <c r="AI29" i="1"/>
  <c r="AI17" i="1"/>
  <c r="AI33" i="1"/>
  <c r="AI36" i="1"/>
  <c r="AI11" i="1"/>
  <c r="AI27" i="1"/>
  <c r="AI12" i="1"/>
  <c r="AI28" i="1"/>
  <c r="AI18" i="1"/>
  <c r="AI26" i="1"/>
  <c r="AI31" i="1"/>
  <c r="AI16" i="1"/>
  <c r="AI32" i="1"/>
</calcChain>
</file>

<file path=xl/sharedStrings.xml><?xml version="1.0" encoding="utf-8"?>
<sst xmlns="http://schemas.openxmlformats.org/spreadsheetml/2006/main" count="77" uniqueCount="65">
  <si>
    <t>Provinsi Asal</t>
  </si>
  <si>
    <t>01. Aceh</t>
  </si>
  <si>
    <t>02. Sumatera Utara</t>
  </si>
  <si>
    <t>03. Sumatera Barat</t>
  </si>
  <si>
    <t>04. Riau</t>
  </si>
  <si>
    <t>05. Jambi</t>
  </si>
  <si>
    <t>06. Sumatera Selatan</t>
  </si>
  <si>
    <t>07. Bengkulu</t>
  </si>
  <si>
    <t>08. Lampung</t>
  </si>
  <si>
    <t>09. Kepulauan Bangka Belitung</t>
  </si>
  <si>
    <t>10. Kepulauan Riau</t>
  </si>
  <si>
    <t>11. DKI Jakarta</t>
  </si>
  <si>
    <t>12. Jawa Barat</t>
  </si>
  <si>
    <t>13. Jawa Tengah</t>
  </si>
  <si>
    <t>14. DI Yogyakarta</t>
  </si>
  <si>
    <t>15. Jawa Timur</t>
  </si>
  <si>
    <t>16. Banten</t>
  </si>
  <si>
    <t>17. Bali</t>
  </si>
  <si>
    <t>18. Nusa Tenggara Barat</t>
  </si>
  <si>
    <t>19. Nusa Tenggara Timur</t>
  </si>
  <si>
    <t>20. Kalimantan Barat</t>
  </si>
  <si>
    <t>21. Kalimantan Tengah</t>
  </si>
  <si>
    <t>22. Kalimantan Selatan</t>
  </si>
  <si>
    <t>23. Kalimantan Timur</t>
  </si>
  <si>
    <t>24. Kalimantan Utara</t>
  </si>
  <si>
    <t>25. Sulawesi Utara</t>
  </si>
  <si>
    <t>26. Sulawesi Tengah</t>
  </si>
  <si>
    <t>27. Sulawesi Selatan</t>
  </si>
  <si>
    <t>28. Sulawesi Tenggara</t>
  </si>
  <si>
    <t>29. Gorontalo</t>
  </si>
  <si>
    <t>30. Sulawesi Barat</t>
  </si>
  <si>
    <t>31. Maluku</t>
  </si>
  <si>
    <t>32. Maluku Utara</t>
  </si>
  <si>
    <t>33. Papua Barat</t>
  </si>
  <si>
    <t>34. Papua Barat Daya</t>
  </si>
  <si>
    <t>35. Papua</t>
  </si>
  <si>
    <t>36. Papua Selatan</t>
  </si>
  <si>
    <t>37. Papua Tengah</t>
  </si>
  <si>
    <t>38. Papua Pegunungan</t>
  </si>
  <si>
    <t>INDONESIA</t>
  </si>
  <si>
    <t xml:space="preserve">Sumber : </t>
  </si>
  <si>
    <t>Badan Pusat Statistik diolah kembali oleh Biro Data dan Sistem Informasi, Kementerian Pariwisata</t>
  </si>
  <si>
    <r>
      <t>2025</t>
    </r>
    <r>
      <rPr>
        <b/>
        <vertAlign val="superscript"/>
        <sz val="10"/>
        <color theme="0"/>
        <rFont val="Baguet Script"/>
      </rPr>
      <t>*)</t>
    </r>
  </si>
  <si>
    <t>Distribusi (%)</t>
  </si>
  <si>
    <t>Perubahan (%)</t>
  </si>
  <si>
    <t>Mar</t>
  </si>
  <si>
    <t>Apr</t>
  </si>
  <si>
    <t>Mei</t>
  </si>
  <si>
    <t>Jun</t>
  </si>
  <si>
    <t>Jul</t>
  </si>
  <si>
    <t>Jan</t>
  </si>
  <si>
    <t>Feb</t>
  </si>
  <si>
    <t>Agu</t>
  </si>
  <si>
    <t>Sept</t>
  </si>
  <si>
    <t>Okt</t>
  </si>
  <si>
    <t>Nov</t>
  </si>
  <si>
    <t>Des</t>
  </si>
  <si>
    <t xml:space="preserve">Jan-Des 25 
thd Total </t>
  </si>
  <si>
    <t>Jumlah Perjalanan Wisatawan Nusantara Menurut Provinsi Asal, Tahun 2025-2026</t>
  </si>
  <si>
    <t>Jan-Feb 26
thd Jan-Feb 25</t>
  </si>
  <si>
    <t>Jan-Mar
2026</t>
  </si>
  <si>
    <t>Jan-Mar
2025</t>
  </si>
  <si>
    <t xml:space="preserve">Mar 26 
thd Total </t>
  </si>
  <si>
    <t>Mar 26 
thd Mar 25</t>
  </si>
  <si>
    <t>Mar 26 
thd Feb 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</si>
</sst>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_(* #,##0_);_(* \(#,##0\);_(* &quot;-&quot;_);_(@_)"/>
    <numFmt numFmtId="165" formatCode="_-* #,##0_-;\-* #,##0_-;_-* &quot;-&quot;??_-;_-@_-"/>
  </numFmts>
  <fonts count="1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4"/>
      <name val="Baguet Script"/>
    </font>
    <font>
      <sz val="11"/>
      <color theme="1"/>
      <name val="Baguet Script"/>
    </font>
    <font>
      <b/>
      <sz val="10"/>
      <color theme="0"/>
      <name val="Baguet Script"/>
    </font>
    <font>
      <b/>
      <sz val="10"/>
      <color theme="1"/>
      <name val="Baguet Script"/>
    </font>
    <font>
      <sz val="10"/>
      <name val="Baguet Script"/>
    </font>
    <font>
      <sz val="10"/>
      <color theme="1"/>
      <name val="Baguet Script"/>
    </font>
    <font>
      <b/>
      <sz val="11"/>
      <color theme="1"/>
      <name val="Baguet Script"/>
    </font>
    <font>
      <sz val="11"/>
      <name val="Baguet Script"/>
    </font>
    <font>
      <b/>
      <sz val="9"/>
      <color theme="0"/>
      <name val="Baguet Script"/>
    </font>
    <font>
      <b/>
      <sz val="9"/>
      <color theme="1"/>
      <name val="Baguet Script"/>
    </font>
    <font>
      <b/>
      <vertAlign val="superscript"/>
      <sz val="10"/>
      <color theme="0"/>
      <name val="Baguet Script"/>
    </font>
    <font>
      <b/>
      <sz val="11"/>
      <color theme="0"/>
      <name val="Baguet Script"/>
    </font>
    <font>
      <sz val="8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504BA4"/>
        <bgColor indexed="64"/>
      </patternFill>
    </fill>
    <fill>
      <patternFill patternType="solid">
        <fgColor rgb="FFEDF4FF"/>
        <bgColor indexed="64"/>
      </patternFill>
    </fill>
  </fills>
  <borders count="30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indexed="64"/>
      </left>
      <right style="thick">
        <color indexed="64"/>
      </right>
      <top style="medium">
        <color indexed="64"/>
      </top>
      <bottom/>
      <diagonal/>
    </border>
    <border>
      <left style="thick">
        <color indexed="64"/>
      </left>
      <right style="medium">
        <color indexed="64"/>
      </right>
      <top style="thick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ck">
        <color indexed="64"/>
      </top>
      <bottom style="medium">
        <color indexed="64"/>
      </bottom>
      <diagonal/>
    </border>
    <border>
      <left style="thick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ck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indexed="64"/>
      </left>
      <right style="medium">
        <color indexed="64"/>
      </right>
      <top/>
      <bottom/>
      <diagonal/>
    </border>
    <border>
      <left style="thick">
        <color indexed="64"/>
      </left>
      <right style="medium">
        <color indexed="64"/>
      </right>
      <top style="medium">
        <color indexed="64"/>
      </top>
      <bottom style="thick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ck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auto="1"/>
      </left>
      <right/>
      <top/>
      <bottom/>
      <diagonal/>
    </border>
    <border>
      <left style="medium">
        <color indexed="64"/>
      </left>
      <right/>
      <top style="thin">
        <color indexed="64"/>
      </top>
      <bottom style="thick">
        <color indexed="64"/>
      </bottom>
      <diagonal/>
    </border>
    <border>
      <left style="medium">
        <color indexed="64"/>
      </left>
      <right/>
      <top style="thick">
        <color indexed="64"/>
      </top>
      <bottom style="medium">
        <color indexed="64"/>
      </bottom>
      <diagonal/>
    </border>
    <border>
      <left/>
      <right style="thick">
        <color indexed="64"/>
      </right>
      <top style="thick">
        <color indexed="64"/>
      </top>
      <bottom style="medium">
        <color indexed="64"/>
      </bottom>
      <diagonal/>
    </border>
    <border>
      <left style="thick">
        <color indexed="64"/>
      </left>
      <right/>
      <top style="thick">
        <color indexed="64"/>
      </top>
      <bottom style="medium">
        <color indexed="64"/>
      </bottom>
      <diagonal/>
    </border>
    <border>
      <left/>
      <right/>
      <top style="thick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ck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auto="1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ck">
        <color indexed="64"/>
      </right>
      <top style="medium">
        <color indexed="64"/>
      </top>
      <bottom/>
      <diagonal/>
    </border>
    <border>
      <left/>
      <right style="thick">
        <color indexed="64"/>
      </right>
      <top/>
      <bottom/>
      <diagonal/>
    </border>
    <border>
      <left/>
      <right/>
      <top style="thin">
        <color indexed="64"/>
      </top>
      <bottom style="thick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</cellStyleXfs>
  <cellXfs count="48">
    <xf numFmtId="0" fontId="0" fillId="0" borderId="0" xfId="0"/>
    <xf numFmtId="3" fontId="2" fillId="0" borderId="0" xfId="2" applyNumberFormat="1" applyFont="1" applyFill="1" applyAlignment="1">
      <alignment horizontal="center" vertical="center"/>
    </xf>
    <xf numFmtId="0" fontId="3" fillId="0" borderId="0" xfId="3" applyFont="1" applyAlignment="1">
      <alignment vertical="center"/>
    </xf>
    <xf numFmtId="0" fontId="5" fillId="0" borderId="0" xfId="3" applyFont="1" applyAlignment="1">
      <alignment vertical="center"/>
    </xf>
    <xf numFmtId="165" fontId="7" fillId="0" borderId="1" xfId="1" applyNumberFormat="1" applyFont="1" applyBorder="1" applyAlignment="1">
      <alignment vertical="center"/>
    </xf>
    <xf numFmtId="165" fontId="7" fillId="0" borderId="3" xfId="1" applyNumberFormat="1" applyFont="1" applyBorder="1" applyAlignment="1">
      <alignment vertical="center"/>
    </xf>
    <xf numFmtId="0" fontId="8" fillId="0" borderId="0" xfId="3" applyFont="1" applyAlignment="1">
      <alignment vertical="center"/>
    </xf>
    <xf numFmtId="37" fontId="3" fillId="2" borderId="0" xfId="0" applyNumberFormat="1" applyFont="1" applyFill="1" applyAlignment="1">
      <alignment horizontal="left" vertical="center"/>
    </xf>
    <xf numFmtId="37" fontId="3" fillId="2" borderId="0" xfId="0" applyNumberFormat="1" applyFont="1" applyFill="1" applyAlignment="1">
      <alignment horizontal="left" vertical="center" wrapText="1"/>
    </xf>
    <xf numFmtId="0" fontId="11" fillId="0" borderId="0" xfId="3" applyFont="1" applyAlignment="1">
      <alignment vertical="center"/>
    </xf>
    <xf numFmtId="4" fontId="6" fillId="0" borderId="9" xfId="2" applyNumberFormat="1" applyFont="1" applyFill="1" applyBorder="1" applyAlignment="1">
      <alignment horizontal="left" vertical="center" wrapText="1"/>
    </xf>
    <xf numFmtId="3" fontId="2" fillId="0" borderId="0" xfId="2" applyNumberFormat="1" applyFont="1" applyFill="1" applyAlignment="1">
      <alignment vertical="center"/>
    </xf>
    <xf numFmtId="0" fontId="10" fillId="4" borderId="2" xfId="3" applyFont="1" applyFill="1" applyBorder="1" applyAlignment="1">
      <alignment horizontal="center" vertical="center"/>
    </xf>
    <xf numFmtId="0" fontId="10" fillId="4" borderId="8" xfId="3" applyFont="1" applyFill="1" applyBorder="1" applyAlignment="1">
      <alignment horizontal="center" vertical="center" wrapText="1"/>
    </xf>
    <xf numFmtId="4" fontId="13" fillId="4" borderId="10" xfId="2" applyNumberFormat="1" applyFont="1" applyFill="1" applyBorder="1" applyAlignment="1">
      <alignment horizontal="center" vertical="center" wrapText="1"/>
    </xf>
    <xf numFmtId="165" fontId="4" fillId="4" borderId="11" xfId="1" applyNumberFormat="1" applyFont="1" applyFill="1" applyBorder="1" applyAlignment="1">
      <alignment horizontal="left" vertical="center" wrapText="1"/>
    </xf>
    <xf numFmtId="2" fontId="4" fillId="4" borderId="14" xfId="1" applyNumberFormat="1" applyFont="1" applyFill="1" applyBorder="1" applyAlignment="1">
      <alignment horizontal="center" vertical="center" wrapText="1"/>
    </xf>
    <xf numFmtId="165" fontId="7" fillId="5" borderId="13" xfId="1" applyNumberFormat="1" applyFont="1" applyFill="1" applyBorder="1" applyAlignment="1">
      <alignment vertical="center"/>
    </xf>
    <xf numFmtId="165" fontId="4" fillId="4" borderId="19" xfId="1" applyNumberFormat="1" applyFont="1" applyFill="1" applyBorder="1" applyAlignment="1">
      <alignment horizontal="left" vertical="center" wrapText="1"/>
    </xf>
    <xf numFmtId="165" fontId="7" fillId="3" borderId="12" xfId="1" applyNumberFormat="1" applyFont="1" applyFill="1" applyBorder="1" applyAlignment="1">
      <alignment vertical="center"/>
    </xf>
    <xf numFmtId="165" fontId="7" fillId="3" borderId="13" xfId="1" applyNumberFormat="1" applyFont="1" applyFill="1" applyBorder="1" applyAlignment="1">
      <alignment vertical="center"/>
    </xf>
    <xf numFmtId="165" fontId="7" fillId="0" borderId="20" xfId="1" applyNumberFormat="1" applyFont="1" applyBorder="1" applyAlignment="1">
      <alignment vertical="center"/>
    </xf>
    <xf numFmtId="165" fontId="7" fillId="0" borderId="21" xfId="1" applyNumberFormat="1" applyFont="1" applyBorder="1" applyAlignment="1">
      <alignment vertical="center"/>
    </xf>
    <xf numFmtId="165" fontId="7" fillId="5" borderId="22" xfId="1" applyNumberFormat="1" applyFont="1" applyFill="1" applyBorder="1" applyAlignment="1">
      <alignment vertical="center"/>
    </xf>
    <xf numFmtId="165" fontId="7" fillId="5" borderId="23" xfId="1" applyNumberFormat="1" applyFont="1" applyFill="1" applyBorder="1" applyAlignment="1">
      <alignment vertical="center"/>
    </xf>
    <xf numFmtId="2" fontId="7" fillId="5" borderId="24" xfId="1" applyNumberFormat="1" applyFont="1" applyFill="1" applyBorder="1" applyAlignment="1">
      <alignment horizontal="center" vertical="center"/>
    </xf>
    <xf numFmtId="2" fontId="7" fillId="5" borderId="0" xfId="1" applyNumberFormat="1" applyFont="1" applyFill="1" applyBorder="1" applyAlignment="1">
      <alignment horizontal="center" vertical="center"/>
    </xf>
    <xf numFmtId="0" fontId="10" fillId="4" borderId="4" xfId="3" applyFont="1" applyFill="1" applyBorder="1" applyAlignment="1">
      <alignment horizontal="center" vertical="center" wrapText="1"/>
    </xf>
    <xf numFmtId="2" fontId="7" fillId="5" borderId="22" xfId="1" applyNumberFormat="1" applyFont="1" applyFill="1" applyBorder="1" applyAlignment="1">
      <alignment horizontal="center" vertical="center"/>
    </xf>
    <xf numFmtId="2" fontId="7" fillId="5" borderId="23" xfId="1" applyNumberFormat="1" applyFont="1" applyFill="1" applyBorder="1" applyAlignment="1">
      <alignment horizontal="center" vertical="center"/>
    </xf>
    <xf numFmtId="165" fontId="7" fillId="5" borderId="25" xfId="1" applyNumberFormat="1" applyFont="1" applyFill="1" applyBorder="1" applyAlignment="1">
      <alignment vertical="center"/>
    </xf>
    <xf numFmtId="165" fontId="7" fillId="5" borderId="26" xfId="1" applyNumberFormat="1" applyFont="1" applyFill="1" applyBorder="1" applyAlignment="1">
      <alignment vertical="center"/>
    </xf>
    <xf numFmtId="2" fontId="4" fillId="4" borderId="19" xfId="1" applyNumberFormat="1" applyFont="1" applyFill="1" applyBorder="1" applyAlignment="1">
      <alignment horizontal="center" vertical="center" wrapText="1"/>
    </xf>
    <xf numFmtId="2" fontId="7" fillId="5" borderId="27" xfId="3" applyNumberFormat="1" applyFont="1" applyFill="1" applyBorder="1" applyAlignment="1">
      <alignment horizontal="center" vertical="center"/>
    </xf>
    <xf numFmtId="2" fontId="7" fillId="5" borderId="28" xfId="3" applyNumberFormat="1" applyFont="1" applyFill="1" applyBorder="1" applyAlignment="1">
      <alignment horizontal="center" vertical="center"/>
    </xf>
    <xf numFmtId="2" fontId="4" fillId="4" borderId="29" xfId="1" applyNumberFormat="1" applyFont="1" applyFill="1" applyBorder="1" applyAlignment="1">
      <alignment horizontal="center" vertical="center" wrapText="1"/>
    </xf>
    <xf numFmtId="0" fontId="10" fillId="4" borderId="17" xfId="3" applyFont="1" applyFill="1" applyBorder="1" applyAlignment="1">
      <alignment horizontal="center" vertical="center" wrapText="1"/>
    </xf>
    <xf numFmtId="0" fontId="10" fillId="4" borderId="18" xfId="3" applyFont="1" applyFill="1" applyBorder="1" applyAlignment="1">
      <alignment horizontal="center" vertical="center" wrapText="1"/>
    </xf>
    <xf numFmtId="0" fontId="10" fillId="4" borderId="16" xfId="3" applyFont="1" applyFill="1" applyBorder="1" applyAlignment="1">
      <alignment horizontal="center" vertical="center" wrapText="1"/>
    </xf>
    <xf numFmtId="0" fontId="4" fillId="4" borderId="6" xfId="3" applyFont="1" applyFill="1" applyBorder="1" applyAlignment="1">
      <alignment horizontal="center" vertical="center" wrapText="1"/>
    </xf>
    <xf numFmtId="0" fontId="4" fillId="4" borderId="1" xfId="3" applyFont="1" applyFill="1" applyBorder="1" applyAlignment="1">
      <alignment horizontal="center" vertical="center"/>
    </xf>
    <xf numFmtId="37" fontId="8" fillId="2" borderId="0" xfId="0" applyNumberFormat="1" applyFont="1" applyFill="1" applyAlignment="1">
      <alignment horizontal="left" vertical="center" wrapText="1"/>
    </xf>
    <xf numFmtId="0" fontId="9" fillId="0" borderId="0" xfId="0" applyFont="1"/>
    <xf numFmtId="0" fontId="4" fillId="4" borderId="6" xfId="3" applyFont="1" applyFill="1" applyBorder="1" applyAlignment="1">
      <alignment horizontal="center" vertical="center"/>
    </xf>
    <xf numFmtId="0" fontId="4" fillId="4" borderId="2" xfId="3" applyFont="1" applyFill="1" applyBorder="1" applyAlignment="1">
      <alignment horizontal="center" vertical="center"/>
    </xf>
    <xf numFmtId="0" fontId="10" fillId="4" borderId="15" xfId="3" applyFont="1" applyFill="1" applyBorder="1" applyAlignment="1">
      <alignment horizontal="center" vertical="center" wrapText="1"/>
    </xf>
    <xf numFmtId="4" fontId="4" fillId="4" borderId="5" xfId="2" applyNumberFormat="1" applyFont="1" applyFill="1" applyBorder="1" applyAlignment="1">
      <alignment horizontal="center" vertical="center" wrapText="1"/>
    </xf>
    <xf numFmtId="4" fontId="4" fillId="4" borderId="7" xfId="2" applyNumberFormat="1" applyFont="1" applyFill="1" applyBorder="1" applyAlignment="1">
      <alignment horizontal="center" vertical="center" wrapText="1"/>
    </xf>
  </cellXfs>
  <cellStyles count="4">
    <cellStyle name="Comma" xfId="1" builtinId="3"/>
    <cellStyle name="Comma [0] 9 2" xfId="2" xr:uid="{624E4C7F-3EB1-46C9-9503-004433CEC078}"/>
    <cellStyle name="Normal" xfId="0" builtinId="0"/>
    <cellStyle name="Normal 4" xfId="3" xr:uid="{7B7FA7D5-37E8-4031-B742-F81F6B81EA6C}"/>
  </cellStyles>
  <dxfs count="0"/>
  <tableStyles count="0" defaultTableStyle="TableStyleMedium2" defaultPivotStyle="PivotStyleLight16"/>
  <colors>
    <mruColors>
      <color rgb="FFEDF4FF"/>
      <color rgb="FF504BA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7C3906-A516-42A0-B53F-15766D547134}">
  <sheetPr>
    <pageSetUpPr fitToPage="1"/>
  </sheetPr>
  <dimension ref="B1:AI46"/>
  <sheetViews>
    <sheetView showGridLines="0" tabSelected="1" zoomScale="62" zoomScaleNormal="130" workbookViewId="0">
      <pane xSplit="2" ySplit="4" topLeftCell="C21" activePane="bottomRight" state="frozen"/>
      <selection activeCell="AM40" sqref="AM40"/>
      <selection pane="topRight" activeCell="AM40" sqref="AM40"/>
      <selection pane="bottomLeft" activeCell="AM40" sqref="AM40"/>
      <selection pane="bottomRight" activeCell="AG44" sqref="AG44"/>
    </sheetView>
  </sheetViews>
  <sheetFormatPr defaultColWidth="9.08984375" defaultRowHeight="15.5" x14ac:dyDescent="0.35"/>
  <cols>
    <col min="1" max="1" width="1.81640625" style="2" customWidth="1"/>
    <col min="2" max="2" width="27.453125" style="2" customWidth="1"/>
    <col min="3" max="3" width="12.453125" style="2" hidden="1" customWidth="1"/>
    <col min="4" max="4" width="11.6328125" style="2" bestFit="1" customWidth="1"/>
    <col min="5" max="5" width="12.90625" style="2" customWidth="1"/>
    <col min="6" max="6" width="11" style="2" hidden="1" customWidth="1"/>
    <col min="7" max="9" width="10.453125" style="2" hidden="1" customWidth="1"/>
    <col min="10" max="10" width="11.6328125" style="2" hidden="1" customWidth="1"/>
    <col min="11" max="11" width="11.08984375" style="2" hidden="1" customWidth="1"/>
    <col min="12" max="12" width="11.54296875" style="2" hidden="1" customWidth="1"/>
    <col min="13" max="13" width="11.36328125" style="2" hidden="1" customWidth="1"/>
    <col min="14" max="14" width="12.08984375" style="2" hidden="1" customWidth="1"/>
    <col min="15" max="15" width="13.54296875" style="2" hidden="1" customWidth="1"/>
    <col min="16" max="16" width="13" style="2" customWidth="1"/>
    <col min="17" max="17" width="12.36328125" style="2" customWidth="1"/>
    <col min="18" max="18" width="10.90625" style="2" bestFit="1" customWidth="1"/>
    <col min="19" max="19" width="12.90625" style="2" customWidth="1"/>
    <col min="20" max="21" width="11" style="2" hidden="1" customWidth="1"/>
    <col min="22" max="23" width="11.1796875" style="2" hidden="1" customWidth="1"/>
    <col min="24" max="24" width="11.453125" style="2" hidden="1" customWidth="1"/>
    <col min="25" max="26" width="11.81640625" style="2" hidden="1" customWidth="1"/>
    <col min="27" max="27" width="3.6328125" style="2" hidden="1" customWidth="1"/>
    <col min="28" max="28" width="3.453125" style="2" hidden="1" customWidth="1"/>
    <col min="29" max="29" width="11.81640625" style="2" hidden="1" customWidth="1"/>
    <col min="30" max="30" width="11.81640625" style="2" bestFit="1" customWidth="1"/>
    <col min="31" max="31" width="11.54296875" style="2" customWidth="1"/>
    <col min="32" max="32" width="10.453125" style="2" hidden="1" customWidth="1"/>
    <col min="33" max="35" width="12.08984375" style="2" customWidth="1"/>
    <col min="36" max="36" width="3" style="2" customWidth="1"/>
    <col min="37" max="16384" width="9.08984375" style="2"/>
  </cols>
  <sheetData>
    <row r="1" spans="2:35" ht="19" x14ac:dyDescent="0.35">
      <c r="B1" s="11" t="s">
        <v>58</v>
      </c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  <c r="AA1" s="11"/>
      <c r="AB1" s="11"/>
      <c r="AC1" s="11"/>
      <c r="AD1" s="11"/>
      <c r="AE1" s="1"/>
      <c r="AF1" s="1"/>
      <c r="AG1" s="1"/>
      <c r="AH1" s="1"/>
    </row>
    <row r="2" spans="2:35" ht="16" thickBot="1" x14ac:dyDescent="0.4"/>
    <row r="3" spans="2:35" s="3" customFormat="1" ht="36" customHeight="1" thickTop="1" thickBot="1" x14ac:dyDescent="0.4">
      <c r="B3" s="46" t="s">
        <v>0</v>
      </c>
      <c r="C3" s="43">
        <v>2025</v>
      </c>
      <c r="D3" s="43"/>
      <c r="E3" s="43"/>
      <c r="F3" s="43"/>
      <c r="G3" s="43"/>
      <c r="H3" s="43"/>
      <c r="I3" s="43"/>
      <c r="J3" s="43"/>
      <c r="K3" s="43"/>
      <c r="L3" s="43"/>
      <c r="M3" s="43"/>
      <c r="N3" s="43"/>
      <c r="O3" s="43">
        <v>2025</v>
      </c>
      <c r="P3" s="39" t="s">
        <v>61</v>
      </c>
      <c r="Q3" s="43">
        <v>2026</v>
      </c>
      <c r="R3" s="43"/>
      <c r="S3" s="43"/>
      <c r="T3" s="43"/>
      <c r="U3" s="43"/>
      <c r="V3" s="43"/>
      <c r="W3" s="43"/>
      <c r="X3" s="43"/>
      <c r="Y3" s="43"/>
      <c r="Z3" s="43"/>
      <c r="AA3" s="43"/>
      <c r="AB3" s="43"/>
      <c r="AC3" s="43" t="s">
        <v>42</v>
      </c>
      <c r="AD3" s="39" t="s">
        <v>60</v>
      </c>
      <c r="AE3" s="45" t="s">
        <v>43</v>
      </c>
      <c r="AF3" s="38"/>
      <c r="AG3" s="36" t="s">
        <v>44</v>
      </c>
      <c r="AH3" s="37"/>
      <c r="AI3" s="38"/>
    </row>
    <row r="4" spans="2:35" s="9" customFormat="1" ht="35" customHeight="1" thickBot="1" x14ac:dyDescent="0.4">
      <c r="B4" s="47"/>
      <c r="C4" s="12" t="s">
        <v>50</v>
      </c>
      <c r="D4" s="12" t="s">
        <v>51</v>
      </c>
      <c r="E4" s="12" t="s">
        <v>45</v>
      </c>
      <c r="F4" s="12" t="s">
        <v>46</v>
      </c>
      <c r="G4" s="12" t="s">
        <v>47</v>
      </c>
      <c r="H4" s="12" t="s">
        <v>48</v>
      </c>
      <c r="I4" s="12" t="s">
        <v>49</v>
      </c>
      <c r="J4" s="12" t="s">
        <v>52</v>
      </c>
      <c r="K4" s="12" t="s">
        <v>53</v>
      </c>
      <c r="L4" s="12" t="s">
        <v>54</v>
      </c>
      <c r="M4" s="12" t="s">
        <v>55</v>
      </c>
      <c r="N4" s="12" t="s">
        <v>56</v>
      </c>
      <c r="O4" s="44"/>
      <c r="P4" s="40"/>
      <c r="Q4" s="12" t="s">
        <v>50</v>
      </c>
      <c r="R4" s="12" t="s">
        <v>51</v>
      </c>
      <c r="S4" s="12" t="s">
        <v>45</v>
      </c>
      <c r="T4" s="12" t="s">
        <v>46</v>
      </c>
      <c r="U4" s="12" t="s">
        <v>47</v>
      </c>
      <c r="V4" s="12" t="s">
        <v>48</v>
      </c>
      <c r="W4" s="12" t="s">
        <v>49</v>
      </c>
      <c r="X4" s="12" t="s">
        <v>52</v>
      </c>
      <c r="Y4" s="12" t="s">
        <v>53</v>
      </c>
      <c r="Z4" s="12" t="s">
        <v>54</v>
      </c>
      <c r="AA4" s="12" t="s">
        <v>55</v>
      </c>
      <c r="AB4" s="12" t="s">
        <v>56</v>
      </c>
      <c r="AC4" s="44"/>
      <c r="AD4" s="40"/>
      <c r="AE4" s="27" t="s">
        <v>62</v>
      </c>
      <c r="AF4" s="13" t="s">
        <v>57</v>
      </c>
      <c r="AG4" s="27" t="s">
        <v>63</v>
      </c>
      <c r="AH4" s="13" t="s">
        <v>64</v>
      </c>
      <c r="AI4" s="13" t="s">
        <v>59</v>
      </c>
    </row>
    <row r="5" spans="2:35" x14ac:dyDescent="0.35">
      <c r="B5" s="10" t="s">
        <v>1</v>
      </c>
      <c r="C5" s="21">
        <v>1883868</v>
      </c>
      <c r="D5" s="4">
        <v>1583438</v>
      </c>
      <c r="E5" s="4">
        <v>1402150</v>
      </c>
      <c r="F5" s="4">
        <v>2428041</v>
      </c>
      <c r="G5" s="4">
        <v>1586423</v>
      </c>
      <c r="H5" s="4">
        <v>1960790</v>
      </c>
      <c r="I5" s="5">
        <v>1683024</v>
      </c>
      <c r="J5" s="5">
        <v>1503200</v>
      </c>
      <c r="K5" s="5">
        <v>1484544</v>
      </c>
      <c r="L5" s="4">
        <v>1537607</v>
      </c>
      <c r="M5" s="4">
        <v>1586300</v>
      </c>
      <c r="N5" s="4">
        <v>1812024</v>
      </c>
      <c r="O5" s="19">
        <v>13571828</v>
      </c>
      <c r="P5" s="23">
        <f>SUM(C5:E5)</f>
        <v>4869456</v>
      </c>
      <c r="Q5" s="21">
        <v>1568504</v>
      </c>
      <c r="R5" s="21">
        <v>1511003</v>
      </c>
      <c r="S5" s="21">
        <v>2337424</v>
      </c>
      <c r="T5" s="4"/>
      <c r="U5" s="4"/>
      <c r="V5" s="4"/>
      <c r="W5" s="5"/>
      <c r="X5" s="5"/>
      <c r="Y5" s="5"/>
      <c r="Z5" s="4"/>
      <c r="AA5" s="4"/>
      <c r="AB5" s="4"/>
      <c r="AC5" s="30">
        <f>SUM(Q5:AB5)</f>
        <v>5416931</v>
      </c>
      <c r="AD5" s="30">
        <f>SUM(Q5:AB5)</f>
        <v>5416931</v>
      </c>
      <c r="AE5" s="28">
        <f>S5/$S$43*100</f>
        <v>1.8501083181627433</v>
      </c>
      <c r="AF5" s="25">
        <f>AD5/$AD$43*100</f>
        <v>1.6953690003704132</v>
      </c>
      <c r="AG5" s="28">
        <f>(S5-E5)/E5*100</f>
        <v>66.702849195877761</v>
      </c>
      <c r="AH5" s="28">
        <f>(S5-R5)/R5*100</f>
        <v>54.693538000917272</v>
      </c>
      <c r="AI5" s="33">
        <f>(AD5-P5)/P5*100</f>
        <v>11.243042343949714</v>
      </c>
    </row>
    <row r="6" spans="2:35" x14ac:dyDescent="0.35">
      <c r="B6" s="10" t="s">
        <v>2</v>
      </c>
      <c r="C6" s="22">
        <v>4304932</v>
      </c>
      <c r="D6" s="5">
        <v>4031009</v>
      </c>
      <c r="E6" s="5">
        <v>3966960</v>
      </c>
      <c r="F6" s="5">
        <v>5888079</v>
      </c>
      <c r="G6" s="5">
        <v>5086569</v>
      </c>
      <c r="H6" s="5">
        <v>5349241</v>
      </c>
      <c r="I6" s="5">
        <v>5078327</v>
      </c>
      <c r="J6" s="5">
        <v>4613591</v>
      </c>
      <c r="K6" s="5">
        <v>4415844</v>
      </c>
      <c r="L6" s="5">
        <v>4452640</v>
      </c>
      <c r="M6" s="5">
        <v>4538595</v>
      </c>
      <c r="N6" s="5">
        <v>4658820</v>
      </c>
      <c r="O6" s="20">
        <v>42244751</v>
      </c>
      <c r="P6" s="24">
        <f t="shared" ref="P6:P42" si="0">SUM(C6:E6)</f>
        <v>12302901</v>
      </c>
      <c r="Q6" s="22">
        <v>4957070</v>
      </c>
      <c r="R6" s="22">
        <v>4305081</v>
      </c>
      <c r="S6" s="22">
        <v>5992007</v>
      </c>
      <c r="T6" s="5"/>
      <c r="U6" s="5"/>
      <c r="V6" s="5"/>
      <c r="W6" s="5"/>
      <c r="X6" s="5"/>
      <c r="Y6" s="5"/>
      <c r="Z6" s="5"/>
      <c r="AA6" s="5"/>
      <c r="AB6" s="5"/>
      <c r="AC6" s="17">
        <f>SUM(Q6:AB6)</f>
        <v>15254158</v>
      </c>
      <c r="AD6" s="31">
        <f>SUM(Q6:AB6)</f>
        <v>15254158</v>
      </c>
      <c r="AE6" s="29">
        <f t="shared" ref="AE6:AE42" si="1">S6/$S$43*100</f>
        <v>4.7427689598418539</v>
      </c>
      <c r="AF6" s="26">
        <f>AD6/$AD$43*100</f>
        <v>4.7741842382619133</v>
      </c>
      <c r="AG6" s="29">
        <f t="shared" ref="AG6:AG42" si="2">(S6-E6)/E6*100</f>
        <v>51.047830076431325</v>
      </c>
      <c r="AH6" s="29">
        <f t="shared" ref="AH6:AH42" si="3">(S6-R6)/R6*100</f>
        <v>39.184535668434577</v>
      </c>
      <c r="AI6" s="34">
        <f t="shared" ref="AI6:AI42" si="4">(AD6-P6)/P6*100</f>
        <v>23.988301620894127</v>
      </c>
    </row>
    <row r="7" spans="2:35" x14ac:dyDescent="0.35">
      <c r="B7" s="10" t="s">
        <v>3</v>
      </c>
      <c r="C7" s="22">
        <v>1799541</v>
      </c>
      <c r="D7" s="5">
        <v>1566077</v>
      </c>
      <c r="E7" s="5">
        <v>1550285</v>
      </c>
      <c r="F7" s="5">
        <v>2358474</v>
      </c>
      <c r="G7" s="5">
        <v>1693420</v>
      </c>
      <c r="H7" s="5">
        <v>1896257</v>
      </c>
      <c r="I7" s="5">
        <v>1829371</v>
      </c>
      <c r="J7" s="5">
        <v>1623257</v>
      </c>
      <c r="K7" s="5">
        <v>1606249</v>
      </c>
      <c r="L7" s="5">
        <v>1624563</v>
      </c>
      <c r="M7" s="5">
        <v>1595710</v>
      </c>
      <c r="N7" s="5">
        <v>1636576</v>
      </c>
      <c r="O7" s="20">
        <v>17830856</v>
      </c>
      <c r="P7" s="24">
        <f t="shared" si="0"/>
        <v>4915903</v>
      </c>
      <c r="Q7" s="22">
        <v>1584108</v>
      </c>
      <c r="R7" s="22">
        <v>1587713</v>
      </c>
      <c r="S7" s="22">
        <v>2194060</v>
      </c>
      <c r="T7" s="5"/>
      <c r="U7" s="5"/>
      <c r="V7" s="5"/>
      <c r="W7" s="5"/>
      <c r="X7" s="5"/>
      <c r="Y7" s="5"/>
      <c r="Z7" s="5"/>
      <c r="AA7" s="5"/>
      <c r="AB7" s="5"/>
      <c r="AC7" s="17">
        <f t="shared" ref="AC7:AC42" si="5">SUM(Q7:AB7)</f>
        <v>5365881</v>
      </c>
      <c r="AD7" s="31">
        <f t="shared" ref="AD7:AD42" si="6">SUM(Q7:AB7)</f>
        <v>5365881</v>
      </c>
      <c r="AE7" s="29">
        <f t="shared" si="1"/>
        <v>1.7366334291716645</v>
      </c>
      <c r="AF7" s="26">
        <f t="shared" ref="AF7:AF42" si="7">AD7/$AD$43*100</f>
        <v>1.67939157930507</v>
      </c>
      <c r="AG7" s="29">
        <f t="shared" si="2"/>
        <v>41.526235498634122</v>
      </c>
      <c r="AH7" s="29">
        <f t="shared" si="3"/>
        <v>38.189962543608324</v>
      </c>
      <c r="AI7" s="34">
        <f t="shared" si="4"/>
        <v>9.1535166580788925</v>
      </c>
    </row>
    <row r="8" spans="2:35" x14ac:dyDescent="0.35">
      <c r="B8" s="10" t="s">
        <v>4</v>
      </c>
      <c r="C8" s="22">
        <v>2125200</v>
      </c>
      <c r="D8" s="5">
        <v>1728607</v>
      </c>
      <c r="E8" s="5">
        <v>1669127</v>
      </c>
      <c r="F8" s="5">
        <v>3061446</v>
      </c>
      <c r="G8" s="5">
        <v>2003514</v>
      </c>
      <c r="H8" s="5">
        <v>2268118</v>
      </c>
      <c r="I8" s="5">
        <v>2206903</v>
      </c>
      <c r="J8" s="5">
        <v>2015884</v>
      </c>
      <c r="K8" s="5">
        <v>1960394</v>
      </c>
      <c r="L8" s="5">
        <v>2022507</v>
      </c>
      <c r="M8" s="5">
        <v>1998589</v>
      </c>
      <c r="N8" s="5">
        <v>1987609</v>
      </c>
      <c r="O8" s="20">
        <v>19501017</v>
      </c>
      <c r="P8" s="24">
        <f t="shared" si="0"/>
        <v>5522934</v>
      </c>
      <c r="Q8" s="22">
        <v>2158546</v>
      </c>
      <c r="R8" s="22">
        <v>1921544</v>
      </c>
      <c r="S8" s="22">
        <v>3051342</v>
      </c>
      <c r="T8" s="5"/>
      <c r="U8" s="5"/>
      <c r="V8" s="5"/>
      <c r="W8" s="5"/>
      <c r="X8" s="5"/>
      <c r="Y8" s="5"/>
      <c r="Z8" s="5"/>
      <c r="AA8" s="5"/>
      <c r="AB8" s="5"/>
      <c r="AC8" s="17">
        <f t="shared" si="5"/>
        <v>7131432</v>
      </c>
      <c r="AD8" s="31">
        <f t="shared" si="6"/>
        <v>7131432</v>
      </c>
      <c r="AE8" s="29">
        <f t="shared" si="1"/>
        <v>2.4151857839054198</v>
      </c>
      <c r="AF8" s="26">
        <f t="shared" si="7"/>
        <v>2.2319665399189277</v>
      </c>
      <c r="AG8" s="29">
        <f t="shared" si="2"/>
        <v>82.810654911220055</v>
      </c>
      <c r="AH8" s="29">
        <f t="shared" si="3"/>
        <v>58.796363757478368</v>
      </c>
      <c r="AI8" s="34">
        <f t="shared" si="4"/>
        <v>29.12397649510206</v>
      </c>
    </row>
    <row r="9" spans="2:35" x14ac:dyDescent="0.35">
      <c r="B9" s="10" t="s">
        <v>5</v>
      </c>
      <c r="C9" s="22">
        <v>918278</v>
      </c>
      <c r="D9" s="5">
        <v>796115</v>
      </c>
      <c r="E9" s="5">
        <v>750568</v>
      </c>
      <c r="F9" s="5">
        <v>1353075</v>
      </c>
      <c r="G9" s="5">
        <v>949073</v>
      </c>
      <c r="H9" s="5">
        <v>1010351</v>
      </c>
      <c r="I9" s="5">
        <v>961353</v>
      </c>
      <c r="J9" s="5">
        <v>889294</v>
      </c>
      <c r="K9" s="5">
        <v>885968</v>
      </c>
      <c r="L9" s="5">
        <v>916912</v>
      </c>
      <c r="M9" s="5">
        <v>922051</v>
      </c>
      <c r="N9" s="5">
        <v>970998</v>
      </c>
      <c r="O9" s="20">
        <v>9124250</v>
      </c>
      <c r="P9" s="24">
        <f t="shared" si="0"/>
        <v>2464961</v>
      </c>
      <c r="Q9" s="22">
        <v>969414</v>
      </c>
      <c r="R9" s="22">
        <v>857189</v>
      </c>
      <c r="S9" s="22">
        <v>1308051</v>
      </c>
      <c r="T9" s="5"/>
      <c r="U9" s="5"/>
      <c r="V9" s="5"/>
      <c r="W9" s="5"/>
      <c r="X9" s="5"/>
      <c r="Y9" s="5"/>
      <c r="Z9" s="5"/>
      <c r="AA9" s="5"/>
      <c r="AB9" s="5"/>
      <c r="AC9" s="17">
        <f t="shared" si="5"/>
        <v>3134654</v>
      </c>
      <c r="AD9" s="31">
        <f t="shared" si="6"/>
        <v>3134654</v>
      </c>
      <c r="AE9" s="29">
        <f t="shared" si="1"/>
        <v>1.0353431964765891</v>
      </c>
      <c r="AF9" s="26">
        <f t="shared" si="7"/>
        <v>0.98107124098260023</v>
      </c>
      <c r="AG9" s="29">
        <f t="shared" si="2"/>
        <v>74.274815872779016</v>
      </c>
      <c r="AH9" s="29">
        <f t="shared" si="3"/>
        <v>52.597735155257475</v>
      </c>
      <c r="AI9" s="34">
        <f t="shared" si="4"/>
        <v>27.168502868808066</v>
      </c>
    </row>
    <row r="10" spans="2:35" x14ac:dyDescent="0.35">
      <c r="B10" s="10" t="s">
        <v>6</v>
      </c>
      <c r="C10" s="22">
        <v>2244154</v>
      </c>
      <c r="D10" s="5">
        <v>1953851</v>
      </c>
      <c r="E10" s="5">
        <v>1752643</v>
      </c>
      <c r="F10" s="5">
        <v>2840293</v>
      </c>
      <c r="G10" s="5">
        <v>2162723</v>
      </c>
      <c r="H10" s="5">
        <v>2476622</v>
      </c>
      <c r="I10" s="5">
        <v>2348237</v>
      </c>
      <c r="J10" s="5">
        <v>2161197</v>
      </c>
      <c r="K10" s="5">
        <v>2147388</v>
      </c>
      <c r="L10" s="5">
        <v>2191916</v>
      </c>
      <c r="M10" s="5">
        <v>2167091</v>
      </c>
      <c r="N10" s="5">
        <v>2301432</v>
      </c>
      <c r="O10" s="20">
        <v>18920906</v>
      </c>
      <c r="P10" s="24">
        <f t="shared" si="0"/>
        <v>5950648</v>
      </c>
      <c r="Q10" s="22">
        <v>2191747</v>
      </c>
      <c r="R10" s="22">
        <v>1866656</v>
      </c>
      <c r="S10" s="22">
        <v>2628342</v>
      </c>
      <c r="T10" s="5"/>
      <c r="U10" s="5"/>
      <c r="V10" s="5"/>
      <c r="W10" s="5"/>
      <c r="X10" s="5"/>
      <c r="Y10" s="5"/>
      <c r="Z10" s="5"/>
      <c r="AA10" s="5"/>
      <c r="AB10" s="5"/>
      <c r="AC10" s="17">
        <f t="shared" si="5"/>
        <v>6686745</v>
      </c>
      <c r="AD10" s="31">
        <f t="shared" si="6"/>
        <v>6686745</v>
      </c>
      <c r="AE10" s="29">
        <f t="shared" si="1"/>
        <v>2.0803745478682951</v>
      </c>
      <c r="AF10" s="26">
        <f t="shared" si="7"/>
        <v>2.0927902139388261</v>
      </c>
      <c r="AG10" s="29">
        <f t="shared" si="2"/>
        <v>49.964482213434223</v>
      </c>
      <c r="AH10" s="29">
        <f t="shared" si="3"/>
        <v>40.804840313373219</v>
      </c>
      <c r="AI10" s="34">
        <f>(AD10-P10)/P10*100</f>
        <v>12.37003096133396</v>
      </c>
    </row>
    <row r="11" spans="2:35" x14ac:dyDescent="0.35">
      <c r="B11" s="10" t="s">
        <v>7</v>
      </c>
      <c r="C11" s="22">
        <v>602471</v>
      </c>
      <c r="D11" s="5">
        <v>497667</v>
      </c>
      <c r="E11" s="5">
        <v>452383</v>
      </c>
      <c r="F11" s="5">
        <v>775741</v>
      </c>
      <c r="G11" s="5">
        <v>559410</v>
      </c>
      <c r="H11" s="5">
        <v>647436</v>
      </c>
      <c r="I11" s="5">
        <v>664564</v>
      </c>
      <c r="J11" s="5">
        <v>553348</v>
      </c>
      <c r="K11" s="5">
        <v>568035</v>
      </c>
      <c r="L11" s="5">
        <v>564440</v>
      </c>
      <c r="M11" s="5">
        <v>555044</v>
      </c>
      <c r="N11" s="5">
        <v>610379</v>
      </c>
      <c r="O11" s="20">
        <v>4693223</v>
      </c>
      <c r="P11" s="24">
        <f t="shared" si="0"/>
        <v>1552521</v>
      </c>
      <c r="Q11" s="22">
        <v>598679</v>
      </c>
      <c r="R11" s="22">
        <v>513419</v>
      </c>
      <c r="S11" s="22">
        <v>802571</v>
      </c>
      <c r="T11" s="5"/>
      <c r="U11" s="5"/>
      <c r="V11" s="5"/>
      <c r="W11" s="5"/>
      <c r="X11" s="5"/>
      <c r="Y11" s="5"/>
      <c r="Z11" s="5"/>
      <c r="AA11" s="5"/>
      <c r="AB11" s="5"/>
      <c r="AC11" s="17">
        <f t="shared" si="5"/>
        <v>1914669</v>
      </c>
      <c r="AD11" s="31">
        <f t="shared" si="6"/>
        <v>1914669</v>
      </c>
      <c r="AE11" s="29">
        <f t="shared" si="1"/>
        <v>0.63524772699184706</v>
      </c>
      <c r="AF11" s="26">
        <f t="shared" si="7"/>
        <v>0.59924530487285488</v>
      </c>
      <c r="AG11" s="29">
        <f t="shared" si="2"/>
        <v>77.409628566944377</v>
      </c>
      <c r="AH11" s="29">
        <f t="shared" si="3"/>
        <v>56.318913012568686</v>
      </c>
      <c r="AI11" s="34">
        <f t="shared" si="4"/>
        <v>23.326447758194575</v>
      </c>
    </row>
    <row r="12" spans="2:35" x14ac:dyDescent="0.35">
      <c r="B12" s="10" t="s">
        <v>8</v>
      </c>
      <c r="C12" s="22">
        <v>2341410</v>
      </c>
      <c r="D12" s="5">
        <v>2011165</v>
      </c>
      <c r="E12" s="5">
        <v>1738734</v>
      </c>
      <c r="F12" s="5">
        <v>2848440</v>
      </c>
      <c r="G12" s="5">
        <v>2428329</v>
      </c>
      <c r="H12" s="5">
        <v>2757733</v>
      </c>
      <c r="I12" s="5">
        <v>2498250</v>
      </c>
      <c r="J12" s="5">
        <v>2355064</v>
      </c>
      <c r="K12" s="5">
        <v>2315280</v>
      </c>
      <c r="L12" s="5">
        <v>2407169</v>
      </c>
      <c r="M12" s="5">
        <v>2336995</v>
      </c>
      <c r="N12" s="5">
        <v>2561708</v>
      </c>
      <c r="O12" s="20">
        <v>19234306</v>
      </c>
      <c r="P12" s="24">
        <f t="shared" si="0"/>
        <v>6091309</v>
      </c>
      <c r="Q12" s="22">
        <v>2324328</v>
      </c>
      <c r="R12" s="22">
        <v>2028280</v>
      </c>
      <c r="S12" s="22">
        <v>2645512</v>
      </c>
      <c r="T12" s="5"/>
      <c r="U12" s="5"/>
      <c r="V12" s="5"/>
      <c r="W12" s="5"/>
      <c r="X12" s="5"/>
      <c r="Y12" s="5"/>
      <c r="Z12" s="5"/>
      <c r="AA12" s="5"/>
      <c r="AB12" s="5"/>
      <c r="AC12" s="17">
        <f t="shared" si="5"/>
        <v>6998120</v>
      </c>
      <c r="AD12" s="31">
        <f t="shared" si="6"/>
        <v>6998120</v>
      </c>
      <c r="AE12" s="29">
        <f t="shared" si="1"/>
        <v>2.0939648762908893</v>
      </c>
      <c r="AF12" s="26">
        <f t="shared" si="7"/>
        <v>2.1902430931596131</v>
      </c>
      <c r="AG12" s="29">
        <f t="shared" si="2"/>
        <v>52.15162296245429</v>
      </c>
      <c r="AH12" s="29">
        <f t="shared" si="3"/>
        <v>30.431301398229042</v>
      </c>
      <c r="AI12" s="34">
        <f t="shared" si="4"/>
        <v>14.886964361847346</v>
      </c>
    </row>
    <row r="13" spans="2:35" ht="15" customHeight="1" x14ac:dyDescent="0.35">
      <c r="B13" s="10" t="s">
        <v>9</v>
      </c>
      <c r="C13" s="22">
        <v>383008</v>
      </c>
      <c r="D13" s="5">
        <v>320926</v>
      </c>
      <c r="E13" s="5">
        <v>308731</v>
      </c>
      <c r="F13" s="5">
        <v>543493</v>
      </c>
      <c r="G13" s="5">
        <v>407068</v>
      </c>
      <c r="H13" s="5">
        <v>459538</v>
      </c>
      <c r="I13" s="5">
        <v>434482</v>
      </c>
      <c r="J13" s="5">
        <v>381592</v>
      </c>
      <c r="K13" s="5">
        <v>400391</v>
      </c>
      <c r="L13" s="5">
        <v>385326</v>
      </c>
      <c r="M13" s="5">
        <v>402363</v>
      </c>
      <c r="N13" s="5">
        <v>422405</v>
      </c>
      <c r="O13" s="20">
        <v>3324046</v>
      </c>
      <c r="P13" s="24">
        <f t="shared" si="0"/>
        <v>1012665</v>
      </c>
      <c r="Q13" s="22">
        <v>396287</v>
      </c>
      <c r="R13" s="22">
        <v>366667</v>
      </c>
      <c r="S13" s="22">
        <v>479897</v>
      </c>
      <c r="T13" s="5"/>
      <c r="U13" s="5"/>
      <c r="V13" s="5"/>
      <c r="W13" s="5"/>
      <c r="X13" s="5"/>
      <c r="Y13" s="5"/>
      <c r="Z13" s="5"/>
      <c r="AA13" s="5"/>
      <c r="AB13" s="5"/>
      <c r="AC13" s="17">
        <f t="shared" si="5"/>
        <v>1242851</v>
      </c>
      <c r="AD13" s="31">
        <f t="shared" si="6"/>
        <v>1242851</v>
      </c>
      <c r="AE13" s="29">
        <f t="shared" si="1"/>
        <v>0.37984611758985365</v>
      </c>
      <c r="AF13" s="26">
        <f t="shared" si="7"/>
        <v>0.38898244365294088</v>
      </c>
      <c r="AG13" s="29">
        <f t="shared" si="2"/>
        <v>55.441792369408972</v>
      </c>
      <c r="AH13" s="29">
        <f t="shared" si="3"/>
        <v>30.880881017380897</v>
      </c>
      <c r="AI13" s="34">
        <f t="shared" si="4"/>
        <v>22.730715488340174</v>
      </c>
    </row>
    <row r="14" spans="2:35" x14ac:dyDescent="0.35">
      <c r="B14" s="10" t="s">
        <v>10</v>
      </c>
      <c r="C14" s="22">
        <v>306369</v>
      </c>
      <c r="D14" s="5">
        <v>264961</v>
      </c>
      <c r="E14" s="5">
        <v>269205</v>
      </c>
      <c r="F14" s="5">
        <v>498641</v>
      </c>
      <c r="G14" s="5">
        <v>308207</v>
      </c>
      <c r="H14" s="5">
        <v>347783</v>
      </c>
      <c r="I14" s="5">
        <v>359899</v>
      </c>
      <c r="J14" s="5">
        <v>305761</v>
      </c>
      <c r="K14" s="5">
        <v>296768</v>
      </c>
      <c r="L14" s="5">
        <v>310590</v>
      </c>
      <c r="M14" s="5">
        <v>316891</v>
      </c>
      <c r="N14" s="5">
        <v>325623</v>
      </c>
      <c r="O14" s="20">
        <v>3299778</v>
      </c>
      <c r="P14" s="24">
        <f t="shared" si="0"/>
        <v>840535</v>
      </c>
      <c r="Q14" s="22">
        <v>330993</v>
      </c>
      <c r="R14" s="22">
        <v>311612</v>
      </c>
      <c r="S14" s="22">
        <v>469156</v>
      </c>
      <c r="T14" s="5"/>
      <c r="U14" s="5"/>
      <c r="V14" s="5"/>
      <c r="W14" s="5"/>
      <c r="X14" s="5"/>
      <c r="Y14" s="5"/>
      <c r="Z14" s="5"/>
      <c r="AA14" s="5"/>
      <c r="AB14" s="5"/>
      <c r="AC14" s="17">
        <f t="shared" si="5"/>
        <v>1111761</v>
      </c>
      <c r="AD14" s="31">
        <f t="shared" si="6"/>
        <v>1111761</v>
      </c>
      <c r="AE14" s="29">
        <f t="shared" si="1"/>
        <v>0.37134444504546887</v>
      </c>
      <c r="AF14" s="26">
        <f t="shared" si="7"/>
        <v>0.34795442940307181</v>
      </c>
      <c r="AG14" s="29">
        <f t="shared" si="2"/>
        <v>74.274623428242421</v>
      </c>
      <c r="AH14" s="29">
        <f t="shared" si="3"/>
        <v>50.557744887873376</v>
      </c>
      <c r="AI14" s="34">
        <f>(AD14-P14)/P14*100</f>
        <v>32.268257716811313</v>
      </c>
    </row>
    <row r="15" spans="2:35" x14ac:dyDescent="0.35">
      <c r="B15" s="10" t="s">
        <v>11</v>
      </c>
      <c r="C15" s="22">
        <v>8554170</v>
      </c>
      <c r="D15" s="5">
        <v>7452184</v>
      </c>
      <c r="E15" s="5">
        <v>7577060</v>
      </c>
      <c r="F15" s="5">
        <v>10585342</v>
      </c>
      <c r="G15" s="5">
        <v>8442059</v>
      </c>
      <c r="H15" s="5">
        <v>8782966</v>
      </c>
      <c r="I15" s="5">
        <v>8240885</v>
      </c>
      <c r="J15" s="5">
        <v>8100780</v>
      </c>
      <c r="K15" s="5">
        <v>8116615</v>
      </c>
      <c r="L15" s="5">
        <v>8327591</v>
      </c>
      <c r="M15" s="5">
        <v>8457053</v>
      </c>
      <c r="N15" s="5">
        <v>9015997</v>
      </c>
      <c r="O15" s="20">
        <v>90447104</v>
      </c>
      <c r="P15" s="24">
        <f t="shared" si="0"/>
        <v>23583414</v>
      </c>
      <c r="Q15" s="22">
        <v>8834233</v>
      </c>
      <c r="R15" s="22">
        <v>7978714</v>
      </c>
      <c r="S15" s="22">
        <v>10920499</v>
      </c>
      <c r="T15" s="5"/>
      <c r="U15" s="5"/>
      <c r="V15" s="5"/>
      <c r="W15" s="5"/>
      <c r="X15" s="5"/>
      <c r="Y15" s="5"/>
      <c r="Z15" s="5"/>
      <c r="AA15" s="5"/>
      <c r="AB15" s="5"/>
      <c r="AC15" s="17">
        <f t="shared" si="5"/>
        <v>27733446</v>
      </c>
      <c r="AD15" s="31">
        <f t="shared" si="6"/>
        <v>27733446</v>
      </c>
      <c r="AE15" s="29">
        <f t="shared" si="1"/>
        <v>8.6437488613054025</v>
      </c>
      <c r="AF15" s="26">
        <f t="shared" si="7"/>
        <v>8.6799009664045634</v>
      </c>
      <c r="AG15" s="29">
        <f t="shared" si="2"/>
        <v>44.125808690969848</v>
      </c>
      <c r="AH15" s="29">
        <f t="shared" si="3"/>
        <v>36.870415457929681</v>
      </c>
      <c r="AI15" s="34">
        <f>(AD15-P15)/P15*100</f>
        <v>17.59724864262655</v>
      </c>
    </row>
    <row r="16" spans="2:35" x14ac:dyDescent="0.35">
      <c r="B16" s="10" t="s">
        <v>12</v>
      </c>
      <c r="C16" s="22">
        <v>18225742</v>
      </c>
      <c r="D16" s="5">
        <v>15969369</v>
      </c>
      <c r="E16" s="5">
        <v>17041963</v>
      </c>
      <c r="F16" s="5">
        <v>24117740</v>
      </c>
      <c r="G16" s="5">
        <v>17942744</v>
      </c>
      <c r="H16" s="5">
        <v>18967111</v>
      </c>
      <c r="I16" s="5">
        <v>18285776</v>
      </c>
      <c r="J16" s="5">
        <v>17009968</v>
      </c>
      <c r="K16" s="5">
        <v>17201590</v>
      </c>
      <c r="L16" s="5">
        <v>17399260</v>
      </c>
      <c r="M16" s="5">
        <v>17744672</v>
      </c>
      <c r="N16" s="5">
        <v>18889080</v>
      </c>
      <c r="O16" s="20">
        <v>180588894</v>
      </c>
      <c r="P16" s="24">
        <f t="shared" si="0"/>
        <v>51237074</v>
      </c>
      <c r="Q16" s="22">
        <v>18969700</v>
      </c>
      <c r="R16" s="22">
        <v>16171769</v>
      </c>
      <c r="S16" s="22">
        <v>24494100</v>
      </c>
      <c r="T16" s="5"/>
      <c r="U16" s="5"/>
      <c r="V16" s="5"/>
      <c r="W16" s="5"/>
      <c r="X16" s="5"/>
      <c r="Y16" s="5"/>
      <c r="Z16" s="5"/>
      <c r="AA16" s="5"/>
      <c r="AB16" s="5"/>
      <c r="AC16" s="17">
        <f t="shared" si="5"/>
        <v>59635569</v>
      </c>
      <c r="AD16" s="31">
        <f t="shared" si="6"/>
        <v>59635569</v>
      </c>
      <c r="AE16" s="29">
        <f t="shared" si="1"/>
        <v>19.387470204768178</v>
      </c>
      <c r="AF16" s="26">
        <f t="shared" si="7"/>
        <v>18.664497480593862</v>
      </c>
      <c r="AG16" s="29">
        <f t="shared" si="2"/>
        <v>43.728160893202265</v>
      </c>
      <c r="AH16" s="29">
        <f t="shared" si="3"/>
        <v>51.462094221108401</v>
      </c>
      <c r="AI16" s="34">
        <f t="shared" si="4"/>
        <v>16.391441478488801</v>
      </c>
    </row>
    <row r="17" spans="2:35" x14ac:dyDescent="0.35">
      <c r="B17" s="10" t="s">
        <v>13</v>
      </c>
      <c r="C17" s="22">
        <v>12579381</v>
      </c>
      <c r="D17" s="5">
        <v>11681993</v>
      </c>
      <c r="E17" s="5">
        <v>11212927</v>
      </c>
      <c r="F17" s="5">
        <v>14596755</v>
      </c>
      <c r="G17" s="5">
        <v>11338838</v>
      </c>
      <c r="H17" s="5">
        <v>11760046</v>
      </c>
      <c r="I17" s="5">
        <v>11497398</v>
      </c>
      <c r="J17" s="5">
        <v>10730152</v>
      </c>
      <c r="K17" s="5">
        <v>10983186</v>
      </c>
      <c r="L17" s="5">
        <v>11200403</v>
      </c>
      <c r="M17" s="5">
        <v>11156232</v>
      </c>
      <c r="N17" s="5">
        <v>12500416</v>
      </c>
      <c r="O17" s="20">
        <v>131803213</v>
      </c>
      <c r="P17" s="24">
        <f t="shared" si="0"/>
        <v>35474301</v>
      </c>
      <c r="Q17" s="22">
        <v>11500920</v>
      </c>
      <c r="R17" s="22">
        <v>10962312</v>
      </c>
      <c r="S17" s="22">
        <v>15466192</v>
      </c>
      <c r="T17" s="5"/>
      <c r="U17" s="5"/>
      <c r="V17" s="5"/>
      <c r="W17" s="5"/>
      <c r="X17" s="5"/>
      <c r="Y17" s="5"/>
      <c r="Z17" s="5"/>
      <c r="AA17" s="5"/>
      <c r="AB17" s="5"/>
      <c r="AC17" s="17">
        <f t="shared" si="5"/>
        <v>37929424</v>
      </c>
      <c r="AD17" s="31">
        <f t="shared" si="6"/>
        <v>37929424</v>
      </c>
      <c r="AE17" s="29">
        <f t="shared" si="1"/>
        <v>12.241737258410145</v>
      </c>
      <c r="AF17" s="26">
        <f t="shared" si="7"/>
        <v>11.870996631026971</v>
      </c>
      <c r="AG17" s="29">
        <f t="shared" si="2"/>
        <v>37.931799609504282</v>
      </c>
      <c r="AH17" s="29">
        <f t="shared" si="3"/>
        <v>41.085128757510276</v>
      </c>
      <c r="AI17" s="34">
        <f t="shared" si="4"/>
        <v>6.9208495468311</v>
      </c>
    </row>
    <row r="18" spans="2:35" x14ac:dyDescent="0.35">
      <c r="B18" s="10" t="s">
        <v>14</v>
      </c>
      <c r="C18" s="22">
        <v>2650278</v>
      </c>
      <c r="D18" s="5">
        <v>2650057</v>
      </c>
      <c r="E18" s="5">
        <v>2494333</v>
      </c>
      <c r="F18" s="5">
        <v>3068252</v>
      </c>
      <c r="G18" s="5">
        <v>2487394</v>
      </c>
      <c r="H18" s="5">
        <v>2581370</v>
      </c>
      <c r="I18" s="5">
        <v>2450578</v>
      </c>
      <c r="J18" s="5">
        <v>2393688</v>
      </c>
      <c r="K18" s="5">
        <v>2392261</v>
      </c>
      <c r="L18" s="5">
        <v>2393741</v>
      </c>
      <c r="M18" s="5">
        <v>2432186</v>
      </c>
      <c r="N18" s="5">
        <v>2720947</v>
      </c>
      <c r="O18" s="20">
        <v>29685025</v>
      </c>
      <c r="P18" s="24">
        <f t="shared" si="0"/>
        <v>7794668</v>
      </c>
      <c r="Q18" s="22">
        <v>2461000</v>
      </c>
      <c r="R18" s="22">
        <v>2394440</v>
      </c>
      <c r="S18" s="22">
        <v>3098588</v>
      </c>
      <c r="T18" s="5"/>
      <c r="U18" s="5"/>
      <c r="V18" s="5"/>
      <c r="W18" s="5"/>
      <c r="X18" s="5"/>
      <c r="Y18" s="5"/>
      <c r="Z18" s="5"/>
      <c r="AA18" s="5"/>
      <c r="AB18" s="5"/>
      <c r="AC18" s="17">
        <f t="shared" si="5"/>
        <v>7954028</v>
      </c>
      <c r="AD18" s="31">
        <f t="shared" si="6"/>
        <v>7954028</v>
      </c>
      <c r="AE18" s="29">
        <f t="shared" si="1"/>
        <v>2.4525817452714005</v>
      </c>
      <c r="AF18" s="26">
        <f t="shared" si="7"/>
        <v>2.4894192854363988</v>
      </c>
      <c r="AG18" s="29">
        <f t="shared" si="2"/>
        <v>24.225113487252905</v>
      </c>
      <c r="AH18" s="29">
        <f t="shared" si="3"/>
        <v>29.407627670770619</v>
      </c>
      <c r="AI18" s="34">
        <f t="shared" si="4"/>
        <v>2.0444745048794895</v>
      </c>
    </row>
    <row r="19" spans="2:35" x14ac:dyDescent="0.35">
      <c r="B19" s="10" t="s">
        <v>15</v>
      </c>
      <c r="C19" s="22">
        <v>18539361</v>
      </c>
      <c r="D19" s="5">
        <v>15809176</v>
      </c>
      <c r="E19" s="5">
        <v>14687307</v>
      </c>
      <c r="F19" s="5">
        <v>22813378</v>
      </c>
      <c r="G19" s="5">
        <v>16291463</v>
      </c>
      <c r="H19" s="5">
        <v>17525002</v>
      </c>
      <c r="I19" s="5">
        <v>16669179</v>
      </c>
      <c r="J19" s="5">
        <v>15194885</v>
      </c>
      <c r="K19" s="5">
        <v>15916696</v>
      </c>
      <c r="L19" s="5">
        <v>16076854</v>
      </c>
      <c r="M19" s="5">
        <v>15723966</v>
      </c>
      <c r="N19" s="5">
        <v>18652299</v>
      </c>
      <c r="O19" s="20">
        <v>204882768</v>
      </c>
      <c r="P19" s="24">
        <f t="shared" si="0"/>
        <v>49035844</v>
      </c>
      <c r="Q19" s="22">
        <v>16789678</v>
      </c>
      <c r="R19" s="22">
        <v>15528759</v>
      </c>
      <c r="S19" s="22">
        <v>19363664</v>
      </c>
      <c r="T19" s="5"/>
      <c r="U19" s="5"/>
      <c r="V19" s="5"/>
      <c r="W19" s="5"/>
      <c r="X19" s="5"/>
      <c r="Y19" s="5"/>
      <c r="Z19" s="5"/>
      <c r="AA19" s="5"/>
      <c r="AB19" s="5"/>
      <c r="AC19" s="17">
        <f t="shared" si="5"/>
        <v>51682101</v>
      </c>
      <c r="AD19" s="31">
        <f t="shared" si="6"/>
        <v>51682101</v>
      </c>
      <c r="AE19" s="29">
        <f t="shared" si="1"/>
        <v>15.326648411459992</v>
      </c>
      <c r="AF19" s="26">
        <f t="shared" si="7"/>
        <v>16.175253461676498</v>
      </c>
      <c r="AG19" s="29">
        <f t="shared" si="2"/>
        <v>31.839444766831658</v>
      </c>
      <c r="AH19" s="29">
        <f t="shared" si="3"/>
        <v>24.695502068130494</v>
      </c>
      <c r="AI19" s="34">
        <f t="shared" si="4"/>
        <v>5.3965768387712467</v>
      </c>
    </row>
    <row r="20" spans="2:35" x14ac:dyDescent="0.35">
      <c r="B20" s="10" t="s">
        <v>16</v>
      </c>
      <c r="C20" s="22">
        <v>6508349</v>
      </c>
      <c r="D20" s="5">
        <v>5739958</v>
      </c>
      <c r="E20" s="5">
        <v>5765084</v>
      </c>
      <c r="F20" s="5">
        <v>8386481</v>
      </c>
      <c r="G20" s="5">
        <v>6192047</v>
      </c>
      <c r="H20" s="5">
        <v>6666014</v>
      </c>
      <c r="I20" s="5">
        <v>6148741</v>
      </c>
      <c r="J20" s="5">
        <v>5901880</v>
      </c>
      <c r="K20" s="5">
        <v>5974660</v>
      </c>
      <c r="L20" s="5">
        <v>6080456</v>
      </c>
      <c r="M20" s="5">
        <v>6155709</v>
      </c>
      <c r="N20" s="5">
        <v>6665587</v>
      </c>
      <c r="O20" s="20">
        <v>61875924</v>
      </c>
      <c r="P20" s="24">
        <f t="shared" si="0"/>
        <v>18013391</v>
      </c>
      <c r="Q20" s="22">
        <v>6584113</v>
      </c>
      <c r="R20" s="22">
        <v>5969987</v>
      </c>
      <c r="S20" s="22">
        <v>8922799</v>
      </c>
      <c r="T20" s="5"/>
      <c r="U20" s="5"/>
      <c r="V20" s="5"/>
      <c r="W20" s="5"/>
      <c r="X20" s="5"/>
      <c r="Y20" s="5"/>
      <c r="Z20" s="5"/>
      <c r="AA20" s="5"/>
      <c r="AB20" s="5"/>
      <c r="AC20" s="17">
        <f t="shared" si="5"/>
        <v>21476899</v>
      </c>
      <c r="AD20" s="31">
        <f t="shared" si="6"/>
        <v>21476899</v>
      </c>
      <c r="AE20" s="29">
        <f t="shared" si="1"/>
        <v>7.0625374990563152</v>
      </c>
      <c r="AF20" s="26">
        <f t="shared" si="7"/>
        <v>6.7217523702418083</v>
      </c>
      <c r="AG20" s="29">
        <f t="shared" si="2"/>
        <v>54.773096107532872</v>
      </c>
      <c r="AH20" s="29">
        <f t="shared" si="3"/>
        <v>49.460945224838845</v>
      </c>
      <c r="AI20" s="34">
        <f t="shared" si="4"/>
        <v>19.227406988500945</v>
      </c>
    </row>
    <row r="21" spans="2:35" x14ac:dyDescent="0.35">
      <c r="B21" s="10" t="s">
        <v>17</v>
      </c>
      <c r="C21" s="22">
        <v>2243554</v>
      </c>
      <c r="D21" s="5">
        <v>1964836</v>
      </c>
      <c r="E21" s="5">
        <v>2327326</v>
      </c>
      <c r="F21" s="5">
        <v>2847077</v>
      </c>
      <c r="G21" s="5">
        <v>2133180</v>
      </c>
      <c r="H21" s="5">
        <v>2296323</v>
      </c>
      <c r="I21" s="5">
        <v>2258537</v>
      </c>
      <c r="J21" s="5">
        <v>2204551</v>
      </c>
      <c r="K21" s="5">
        <v>2192432</v>
      </c>
      <c r="L21" s="5">
        <v>2206357</v>
      </c>
      <c r="M21" s="5">
        <v>2425790</v>
      </c>
      <c r="N21" s="5">
        <v>2178488</v>
      </c>
      <c r="O21" s="20">
        <v>21622469</v>
      </c>
      <c r="P21" s="24">
        <f t="shared" si="0"/>
        <v>6535716</v>
      </c>
      <c r="Q21" s="22">
        <v>2225727</v>
      </c>
      <c r="R21" s="22">
        <v>2054427</v>
      </c>
      <c r="S21" s="22">
        <v>2735151</v>
      </c>
      <c r="T21" s="5"/>
      <c r="U21" s="5"/>
      <c r="V21" s="5"/>
      <c r="W21" s="5"/>
      <c r="X21" s="5"/>
      <c r="Y21" s="5"/>
      <c r="Z21" s="5"/>
      <c r="AA21" s="5"/>
      <c r="AB21" s="5"/>
      <c r="AC21" s="17">
        <f t="shared" si="5"/>
        <v>7015305</v>
      </c>
      <c r="AD21" s="31">
        <f t="shared" si="6"/>
        <v>7015305</v>
      </c>
      <c r="AE21" s="29">
        <f t="shared" si="1"/>
        <v>2.1649155722415556</v>
      </c>
      <c r="AF21" s="26">
        <f t="shared" si="7"/>
        <v>2.1956215844624127</v>
      </c>
      <c r="AG21" s="29">
        <f t="shared" si="2"/>
        <v>17.523329348789126</v>
      </c>
      <c r="AH21" s="29">
        <f t="shared" si="3"/>
        <v>33.134494435674767</v>
      </c>
      <c r="AI21" s="34">
        <f t="shared" si="4"/>
        <v>7.3379718457778766</v>
      </c>
    </row>
    <row r="22" spans="2:35" x14ac:dyDescent="0.35">
      <c r="B22" s="10" t="s">
        <v>18</v>
      </c>
      <c r="C22" s="22">
        <v>1337856</v>
      </c>
      <c r="D22" s="5">
        <v>1138231</v>
      </c>
      <c r="E22" s="5">
        <v>1188614</v>
      </c>
      <c r="F22" s="5">
        <v>1581474</v>
      </c>
      <c r="G22" s="5">
        <v>1279916</v>
      </c>
      <c r="H22" s="5">
        <v>1411002</v>
      </c>
      <c r="I22" s="5">
        <v>1328779</v>
      </c>
      <c r="J22" s="5">
        <v>1349267</v>
      </c>
      <c r="K22" s="5">
        <v>1368753</v>
      </c>
      <c r="L22" s="5">
        <v>1410969</v>
      </c>
      <c r="M22" s="5">
        <v>1352870</v>
      </c>
      <c r="N22" s="5">
        <v>1457284</v>
      </c>
      <c r="O22" s="20">
        <v>15136466</v>
      </c>
      <c r="P22" s="24">
        <f t="shared" si="0"/>
        <v>3664701</v>
      </c>
      <c r="Q22" s="22">
        <v>1316871</v>
      </c>
      <c r="R22" s="22">
        <v>1156356</v>
      </c>
      <c r="S22" s="22">
        <v>1551209</v>
      </c>
      <c r="T22" s="5"/>
      <c r="U22" s="5"/>
      <c r="V22" s="5"/>
      <c r="W22" s="5"/>
      <c r="X22" s="5"/>
      <c r="Y22" s="5"/>
      <c r="Z22" s="5"/>
      <c r="AA22" s="5"/>
      <c r="AB22" s="5"/>
      <c r="AC22" s="17">
        <f t="shared" si="5"/>
        <v>4024436</v>
      </c>
      <c r="AD22" s="31">
        <f t="shared" si="6"/>
        <v>4024436</v>
      </c>
      <c r="AE22" s="29">
        <f t="shared" si="1"/>
        <v>1.2278066256309985</v>
      </c>
      <c r="AF22" s="26">
        <f t="shared" si="7"/>
        <v>1.2595515871209555</v>
      </c>
      <c r="AG22" s="29">
        <f t="shared" si="2"/>
        <v>30.505698233404622</v>
      </c>
      <c r="AH22" s="29">
        <f t="shared" si="3"/>
        <v>34.146318261850155</v>
      </c>
      <c r="AI22" s="34">
        <f t="shared" si="4"/>
        <v>9.8162169301124429</v>
      </c>
    </row>
    <row r="23" spans="2:35" x14ac:dyDescent="0.35">
      <c r="B23" s="10" t="s">
        <v>19</v>
      </c>
      <c r="C23" s="22">
        <v>853061</v>
      </c>
      <c r="D23" s="5">
        <v>770751</v>
      </c>
      <c r="E23" s="5">
        <v>750543</v>
      </c>
      <c r="F23" s="5">
        <v>855408</v>
      </c>
      <c r="G23" s="5">
        <v>837526</v>
      </c>
      <c r="H23" s="5">
        <v>922259</v>
      </c>
      <c r="I23" s="5">
        <v>1002652</v>
      </c>
      <c r="J23" s="5">
        <v>893799</v>
      </c>
      <c r="K23" s="5">
        <v>912946</v>
      </c>
      <c r="L23" s="5">
        <v>895720</v>
      </c>
      <c r="M23" s="5">
        <v>925830</v>
      </c>
      <c r="N23" s="5">
        <v>982715</v>
      </c>
      <c r="O23" s="20">
        <v>8255413</v>
      </c>
      <c r="P23" s="24">
        <f t="shared" si="0"/>
        <v>2374355</v>
      </c>
      <c r="Q23" s="22">
        <v>901990</v>
      </c>
      <c r="R23" s="22">
        <v>764158</v>
      </c>
      <c r="S23" s="22">
        <v>871108</v>
      </c>
      <c r="T23" s="5"/>
      <c r="U23" s="5"/>
      <c r="V23" s="5"/>
      <c r="W23" s="5"/>
      <c r="X23" s="5"/>
      <c r="Y23" s="5"/>
      <c r="Z23" s="5"/>
      <c r="AA23" s="5"/>
      <c r="AB23" s="5"/>
      <c r="AC23" s="17">
        <f t="shared" si="5"/>
        <v>2537256</v>
      </c>
      <c r="AD23" s="31">
        <f t="shared" si="6"/>
        <v>2537256</v>
      </c>
      <c r="AE23" s="29">
        <f t="shared" si="1"/>
        <v>0.6894958539050301</v>
      </c>
      <c r="AF23" s="26">
        <f t="shared" si="7"/>
        <v>0.79410004823835356</v>
      </c>
      <c r="AG23" s="29">
        <f t="shared" si="2"/>
        <v>16.063703212207695</v>
      </c>
      <c r="AH23" s="29">
        <f t="shared" si="3"/>
        <v>13.995796680791145</v>
      </c>
      <c r="AI23" s="34">
        <f t="shared" si="4"/>
        <v>6.8608527368485346</v>
      </c>
    </row>
    <row r="24" spans="2:35" x14ac:dyDescent="0.35">
      <c r="B24" s="10" t="s">
        <v>20</v>
      </c>
      <c r="C24" s="22">
        <v>940478</v>
      </c>
      <c r="D24" s="5">
        <v>919012</v>
      </c>
      <c r="E24" s="5">
        <v>818309</v>
      </c>
      <c r="F24" s="5">
        <v>1492142</v>
      </c>
      <c r="G24" s="5">
        <v>1176832</v>
      </c>
      <c r="H24" s="5">
        <v>1313465</v>
      </c>
      <c r="I24" s="5">
        <v>1211337</v>
      </c>
      <c r="J24" s="5">
        <v>1084883</v>
      </c>
      <c r="K24" s="5">
        <v>1074166</v>
      </c>
      <c r="L24" s="5">
        <v>1098370</v>
      </c>
      <c r="M24" s="5">
        <v>1087334</v>
      </c>
      <c r="N24" s="5">
        <v>1136291</v>
      </c>
      <c r="O24" s="20">
        <v>8649343</v>
      </c>
      <c r="P24" s="24">
        <f t="shared" si="0"/>
        <v>2677799</v>
      </c>
      <c r="Q24" s="22">
        <v>1266058</v>
      </c>
      <c r="R24" s="22">
        <v>1150238</v>
      </c>
      <c r="S24" s="22">
        <v>1568368</v>
      </c>
      <c r="T24" s="5"/>
      <c r="U24" s="5"/>
      <c r="V24" s="5"/>
      <c r="W24" s="5"/>
      <c r="X24" s="5"/>
      <c r="Y24" s="5"/>
      <c r="Z24" s="5"/>
      <c r="AA24" s="5"/>
      <c r="AB24" s="5"/>
      <c r="AC24" s="17">
        <f t="shared" si="5"/>
        <v>3984664</v>
      </c>
      <c r="AD24" s="31">
        <f t="shared" si="6"/>
        <v>3984664</v>
      </c>
      <c r="AE24" s="29">
        <f t="shared" si="1"/>
        <v>1.2413882473784241</v>
      </c>
      <c r="AF24" s="26">
        <f t="shared" si="7"/>
        <v>1.2471039085585496</v>
      </c>
      <c r="AG24" s="29">
        <f t="shared" si="2"/>
        <v>91.659629797545918</v>
      </c>
      <c r="AH24" s="29">
        <f t="shared" si="3"/>
        <v>36.351607232590126</v>
      </c>
      <c r="AI24" s="34">
        <f t="shared" si="4"/>
        <v>48.803700352416293</v>
      </c>
    </row>
    <row r="25" spans="2:35" x14ac:dyDescent="0.35">
      <c r="B25" s="10" t="s">
        <v>21</v>
      </c>
      <c r="C25" s="22">
        <v>1007189</v>
      </c>
      <c r="D25" s="5">
        <v>779961</v>
      </c>
      <c r="E25" s="5">
        <v>806386</v>
      </c>
      <c r="F25" s="5">
        <v>1134318</v>
      </c>
      <c r="G25" s="5">
        <v>858644</v>
      </c>
      <c r="H25" s="5">
        <v>942062</v>
      </c>
      <c r="I25" s="5">
        <v>912491</v>
      </c>
      <c r="J25" s="5">
        <v>807887</v>
      </c>
      <c r="K25" s="5">
        <v>832184</v>
      </c>
      <c r="L25" s="5">
        <v>863199</v>
      </c>
      <c r="M25" s="5">
        <v>822079</v>
      </c>
      <c r="N25" s="5">
        <v>968570</v>
      </c>
      <c r="O25" s="20">
        <v>6766843</v>
      </c>
      <c r="P25" s="24">
        <f t="shared" si="0"/>
        <v>2593536</v>
      </c>
      <c r="Q25" s="22">
        <v>1013301</v>
      </c>
      <c r="R25" s="22">
        <v>842414</v>
      </c>
      <c r="S25" s="22">
        <v>1206248</v>
      </c>
      <c r="T25" s="5"/>
      <c r="U25" s="5"/>
      <c r="V25" s="5"/>
      <c r="W25" s="5"/>
      <c r="X25" s="5"/>
      <c r="Y25" s="5"/>
      <c r="Z25" s="5"/>
      <c r="AA25" s="5"/>
      <c r="AB25" s="5"/>
      <c r="AC25" s="17">
        <f t="shared" si="5"/>
        <v>3061963</v>
      </c>
      <c r="AD25" s="31">
        <f t="shared" si="6"/>
        <v>3061963</v>
      </c>
      <c r="AE25" s="29">
        <f t="shared" si="1"/>
        <v>0.95476450082106323</v>
      </c>
      <c r="AF25" s="26">
        <f t="shared" si="7"/>
        <v>0.95832070788444446</v>
      </c>
      <c r="AG25" s="29">
        <f t="shared" si="2"/>
        <v>49.58692239200581</v>
      </c>
      <c r="AH25" s="29">
        <f t="shared" si="3"/>
        <v>43.189453166732747</v>
      </c>
      <c r="AI25" s="34">
        <f t="shared" si="4"/>
        <v>18.06132631280229</v>
      </c>
    </row>
    <row r="26" spans="2:35" x14ac:dyDescent="0.35">
      <c r="B26" s="10" t="s">
        <v>22</v>
      </c>
      <c r="C26" s="22">
        <v>1839452</v>
      </c>
      <c r="D26" s="5">
        <v>1638152</v>
      </c>
      <c r="E26" s="5">
        <v>1617152</v>
      </c>
      <c r="F26" s="5">
        <v>2076039</v>
      </c>
      <c r="G26" s="5">
        <v>1640603</v>
      </c>
      <c r="H26" s="5">
        <v>1807090</v>
      </c>
      <c r="I26" s="5">
        <v>1659278</v>
      </c>
      <c r="J26" s="5">
        <v>1551899</v>
      </c>
      <c r="K26" s="5">
        <v>1559149</v>
      </c>
      <c r="L26" s="5">
        <v>1572105</v>
      </c>
      <c r="M26" s="5">
        <v>1593226</v>
      </c>
      <c r="N26" s="5">
        <v>1980461</v>
      </c>
      <c r="O26" s="20">
        <v>12638829</v>
      </c>
      <c r="P26" s="24">
        <f t="shared" si="0"/>
        <v>5094756</v>
      </c>
      <c r="Q26" s="22">
        <v>1686657</v>
      </c>
      <c r="R26" s="22">
        <v>1481406</v>
      </c>
      <c r="S26" s="22">
        <v>1972627</v>
      </c>
      <c r="T26" s="5"/>
      <c r="U26" s="5"/>
      <c r="V26" s="5"/>
      <c r="W26" s="5"/>
      <c r="X26" s="5"/>
      <c r="Y26" s="5"/>
      <c r="Z26" s="5"/>
      <c r="AA26" s="5"/>
      <c r="AB26" s="5"/>
      <c r="AC26" s="17">
        <f t="shared" si="5"/>
        <v>5140690</v>
      </c>
      <c r="AD26" s="31">
        <f t="shared" si="6"/>
        <v>5140690</v>
      </c>
      <c r="AE26" s="29">
        <f t="shared" si="1"/>
        <v>1.5613656834756631</v>
      </c>
      <c r="AF26" s="26">
        <f t="shared" si="7"/>
        <v>1.6089122173633335</v>
      </c>
      <c r="AG26" s="29">
        <f t="shared" si="2"/>
        <v>21.981545334019312</v>
      </c>
      <c r="AH26" s="29">
        <f t="shared" si="3"/>
        <v>33.159106956499436</v>
      </c>
      <c r="AI26" s="34">
        <f t="shared" si="4"/>
        <v>0.90159371714759251</v>
      </c>
    </row>
    <row r="27" spans="2:35" x14ac:dyDescent="0.35">
      <c r="B27" s="10" t="s">
        <v>23</v>
      </c>
      <c r="C27" s="22">
        <v>1463854</v>
      </c>
      <c r="D27" s="5">
        <v>1221141</v>
      </c>
      <c r="E27" s="5">
        <v>1119378</v>
      </c>
      <c r="F27" s="5">
        <v>1801455</v>
      </c>
      <c r="G27" s="5">
        <v>1244923</v>
      </c>
      <c r="H27" s="5">
        <v>1429623</v>
      </c>
      <c r="I27" s="5">
        <v>1394593</v>
      </c>
      <c r="J27" s="5">
        <v>1228822</v>
      </c>
      <c r="K27" s="5">
        <v>1233628</v>
      </c>
      <c r="L27" s="5">
        <v>1229113</v>
      </c>
      <c r="M27" s="5">
        <v>1267118</v>
      </c>
      <c r="N27" s="5">
        <v>1424362</v>
      </c>
      <c r="O27" s="20">
        <v>13095891</v>
      </c>
      <c r="P27" s="24">
        <f t="shared" si="0"/>
        <v>3804373</v>
      </c>
      <c r="Q27" s="22">
        <v>1438619</v>
      </c>
      <c r="R27" s="22">
        <v>1162170</v>
      </c>
      <c r="S27" s="22">
        <v>1682193</v>
      </c>
      <c r="T27" s="5"/>
      <c r="U27" s="5"/>
      <c r="V27" s="5"/>
      <c r="W27" s="5"/>
      <c r="X27" s="5"/>
      <c r="Y27" s="5"/>
      <c r="Z27" s="5"/>
      <c r="AA27" s="5"/>
      <c r="AB27" s="5"/>
      <c r="AC27" s="17">
        <f t="shared" si="5"/>
        <v>4282982</v>
      </c>
      <c r="AD27" s="31">
        <f t="shared" si="6"/>
        <v>4282982</v>
      </c>
      <c r="AE27" s="29">
        <f t="shared" si="1"/>
        <v>1.3314825474775394</v>
      </c>
      <c r="AF27" s="26">
        <f t="shared" si="7"/>
        <v>1.3404702611025454</v>
      </c>
      <c r="AG27" s="29">
        <f t="shared" si="2"/>
        <v>50.279262233133046</v>
      </c>
      <c r="AH27" s="29">
        <f t="shared" si="3"/>
        <v>44.74586334185188</v>
      </c>
      <c r="AI27" s="34">
        <f t="shared" si="4"/>
        <v>12.580496181630982</v>
      </c>
    </row>
    <row r="28" spans="2:35" x14ac:dyDescent="0.35">
      <c r="B28" s="10" t="s">
        <v>24</v>
      </c>
      <c r="C28" s="22">
        <v>142158</v>
      </c>
      <c r="D28" s="5">
        <v>119026</v>
      </c>
      <c r="E28" s="5">
        <v>114662</v>
      </c>
      <c r="F28" s="5">
        <v>184498</v>
      </c>
      <c r="G28" s="5">
        <v>143188</v>
      </c>
      <c r="H28" s="5">
        <v>162251</v>
      </c>
      <c r="I28" s="5">
        <v>166434</v>
      </c>
      <c r="J28" s="5">
        <v>142077</v>
      </c>
      <c r="K28" s="5">
        <v>139203</v>
      </c>
      <c r="L28" s="5">
        <v>160786</v>
      </c>
      <c r="M28" s="5">
        <v>150010</v>
      </c>
      <c r="N28" s="5">
        <v>162191</v>
      </c>
      <c r="O28" s="20">
        <v>1176685</v>
      </c>
      <c r="P28" s="24">
        <f t="shared" si="0"/>
        <v>375846</v>
      </c>
      <c r="Q28" s="22">
        <v>166766</v>
      </c>
      <c r="R28" s="22">
        <v>135728</v>
      </c>
      <c r="S28" s="22">
        <v>178946</v>
      </c>
      <c r="T28" s="5"/>
      <c r="U28" s="5"/>
      <c r="V28" s="5"/>
      <c r="W28" s="5"/>
      <c r="X28" s="5"/>
      <c r="Y28" s="5"/>
      <c r="Z28" s="5"/>
      <c r="AA28" s="5"/>
      <c r="AB28" s="5"/>
      <c r="AC28" s="17">
        <f t="shared" si="5"/>
        <v>481440</v>
      </c>
      <c r="AD28" s="31">
        <f t="shared" si="6"/>
        <v>481440</v>
      </c>
      <c r="AE28" s="29">
        <f t="shared" si="1"/>
        <v>0.14163860861441924</v>
      </c>
      <c r="AF28" s="26">
        <f t="shared" si="7"/>
        <v>0.15067913021936807</v>
      </c>
      <c r="AG28" s="29">
        <f t="shared" si="2"/>
        <v>56.063909577715378</v>
      </c>
      <c r="AH28" s="29">
        <f t="shared" si="3"/>
        <v>31.841624425321228</v>
      </c>
      <c r="AI28" s="34">
        <f t="shared" si="4"/>
        <v>28.0950176402037</v>
      </c>
    </row>
    <row r="29" spans="2:35" x14ac:dyDescent="0.35">
      <c r="B29" s="10" t="s">
        <v>25</v>
      </c>
      <c r="C29" s="22">
        <v>1057892</v>
      </c>
      <c r="D29" s="5">
        <v>939263</v>
      </c>
      <c r="E29" s="5">
        <v>921933</v>
      </c>
      <c r="F29" s="5">
        <v>1320388</v>
      </c>
      <c r="G29" s="5">
        <v>1205431</v>
      </c>
      <c r="H29" s="5">
        <v>1314971</v>
      </c>
      <c r="I29" s="5">
        <v>1401821</v>
      </c>
      <c r="J29" s="5">
        <v>1224207</v>
      </c>
      <c r="K29" s="5">
        <v>1181505</v>
      </c>
      <c r="L29" s="5">
        <v>1211672</v>
      </c>
      <c r="M29" s="5">
        <v>1227698</v>
      </c>
      <c r="N29" s="5">
        <v>1347621</v>
      </c>
      <c r="O29" s="20">
        <v>8364755</v>
      </c>
      <c r="P29" s="24">
        <f t="shared" si="0"/>
        <v>2919088</v>
      </c>
      <c r="Q29" s="22">
        <v>1221649</v>
      </c>
      <c r="R29" s="22">
        <v>1062151</v>
      </c>
      <c r="S29" s="22">
        <v>1327867</v>
      </c>
      <c r="T29" s="5"/>
      <c r="U29" s="5"/>
      <c r="V29" s="5"/>
      <c r="W29" s="5"/>
      <c r="X29" s="5"/>
      <c r="Y29" s="5"/>
      <c r="Z29" s="5"/>
      <c r="AA29" s="5"/>
      <c r="AB29" s="5"/>
      <c r="AC29" s="17">
        <f t="shared" si="5"/>
        <v>3611667</v>
      </c>
      <c r="AD29" s="31">
        <f t="shared" si="6"/>
        <v>3611667</v>
      </c>
      <c r="AE29" s="29">
        <f t="shared" si="1"/>
        <v>1.0510278760352454</v>
      </c>
      <c r="AF29" s="26">
        <f t="shared" si="7"/>
        <v>1.1303648267738335</v>
      </c>
      <c r="AG29" s="29">
        <f t="shared" si="2"/>
        <v>44.030748438335543</v>
      </c>
      <c r="AH29" s="29">
        <f t="shared" si="3"/>
        <v>25.016781982976056</v>
      </c>
      <c r="AI29" s="34">
        <f t="shared" si="4"/>
        <v>23.725869175578126</v>
      </c>
    </row>
    <row r="30" spans="2:35" x14ac:dyDescent="0.35">
      <c r="B30" s="10" t="s">
        <v>26</v>
      </c>
      <c r="C30" s="22">
        <v>1017660</v>
      </c>
      <c r="D30" s="5">
        <v>858262</v>
      </c>
      <c r="E30" s="5">
        <v>776500</v>
      </c>
      <c r="F30" s="5">
        <v>1173131</v>
      </c>
      <c r="G30" s="5">
        <v>896575</v>
      </c>
      <c r="H30" s="5">
        <v>1047712</v>
      </c>
      <c r="I30" s="5">
        <v>942559</v>
      </c>
      <c r="J30" s="5">
        <v>957794</v>
      </c>
      <c r="K30" s="5">
        <v>887103</v>
      </c>
      <c r="L30" s="5">
        <v>930636</v>
      </c>
      <c r="M30" s="5">
        <v>960056</v>
      </c>
      <c r="N30" s="5">
        <v>1036810</v>
      </c>
      <c r="O30" s="20">
        <v>9216969</v>
      </c>
      <c r="P30" s="24">
        <f t="shared" si="0"/>
        <v>2652422</v>
      </c>
      <c r="Q30" s="22">
        <v>1079199</v>
      </c>
      <c r="R30" s="22">
        <v>879941</v>
      </c>
      <c r="S30" s="22">
        <v>1208607</v>
      </c>
      <c r="T30" s="5"/>
      <c r="U30" s="5"/>
      <c r="V30" s="5"/>
      <c r="W30" s="5"/>
      <c r="X30" s="5"/>
      <c r="Y30" s="5"/>
      <c r="Z30" s="5"/>
      <c r="AA30" s="5"/>
      <c r="AB30" s="5"/>
      <c r="AC30" s="17">
        <f t="shared" si="5"/>
        <v>3167747</v>
      </c>
      <c r="AD30" s="31">
        <f t="shared" si="6"/>
        <v>3167747</v>
      </c>
      <c r="AE30" s="29">
        <f t="shared" si="1"/>
        <v>0.95663168688681166</v>
      </c>
      <c r="AF30" s="26">
        <f t="shared" si="7"/>
        <v>0.99142855332962077</v>
      </c>
      <c r="AG30" s="29">
        <f t="shared" si="2"/>
        <v>55.648036059240184</v>
      </c>
      <c r="AH30" s="29">
        <f t="shared" si="3"/>
        <v>37.350913299868971</v>
      </c>
      <c r="AI30" s="34">
        <f t="shared" si="4"/>
        <v>19.428469527096368</v>
      </c>
    </row>
    <row r="31" spans="2:35" x14ac:dyDescent="0.35">
      <c r="B31" s="10" t="s">
        <v>27</v>
      </c>
      <c r="C31" s="22">
        <v>3910384</v>
      </c>
      <c r="D31" s="5">
        <v>3231489</v>
      </c>
      <c r="E31" s="5">
        <v>3238907</v>
      </c>
      <c r="F31" s="5">
        <v>4329898</v>
      </c>
      <c r="G31" s="5">
        <v>3379040</v>
      </c>
      <c r="H31" s="5">
        <v>3680013</v>
      </c>
      <c r="I31" s="5">
        <v>3368081</v>
      </c>
      <c r="J31" s="5">
        <v>3175527</v>
      </c>
      <c r="K31" s="5">
        <v>3274439</v>
      </c>
      <c r="L31" s="5">
        <v>3349003</v>
      </c>
      <c r="M31" s="5">
        <v>3308951</v>
      </c>
      <c r="N31" s="5">
        <v>4025550</v>
      </c>
      <c r="O31" s="20">
        <v>35439306</v>
      </c>
      <c r="P31" s="24">
        <f t="shared" si="0"/>
        <v>10380780</v>
      </c>
      <c r="Q31" s="22">
        <v>3938384</v>
      </c>
      <c r="R31" s="22">
        <v>3237557</v>
      </c>
      <c r="S31" s="22">
        <v>4182597</v>
      </c>
      <c r="T31" s="5"/>
      <c r="U31" s="5"/>
      <c r="V31" s="5"/>
      <c r="W31" s="5"/>
      <c r="X31" s="5"/>
      <c r="Y31" s="5"/>
      <c r="Z31" s="5"/>
      <c r="AA31" s="5"/>
      <c r="AB31" s="5"/>
      <c r="AC31" s="17">
        <f t="shared" si="5"/>
        <v>11358538</v>
      </c>
      <c r="AD31" s="31">
        <f t="shared" si="6"/>
        <v>11358538</v>
      </c>
      <c r="AE31" s="29">
        <f t="shared" si="1"/>
        <v>3.3105921310051301</v>
      </c>
      <c r="AF31" s="26">
        <f t="shared" si="7"/>
        <v>3.5549489581331852</v>
      </c>
      <c r="AG31" s="29">
        <f t="shared" si="2"/>
        <v>29.136063493024032</v>
      </c>
      <c r="AH31" s="29">
        <f t="shared" si="3"/>
        <v>29.189910787671074</v>
      </c>
      <c r="AI31" s="34">
        <f t="shared" si="4"/>
        <v>9.4189261307917125</v>
      </c>
    </row>
    <row r="32" spans="2:35" x14ac:dyDescent="0.35">
      <c r="B32" s="10" t="s">
        <v>28</v>
      </c>
      <c r="C32" s="22">
        <v>1098829</v>
      </c>
      <c r="D32" s="5">
        <v>996510</v>
      </c>
      <c r="E32" s="5">
        <v>872877</v>
      </c>
      <c r="F32" s="5">
        <v>1285950</v>
      </c>
      <c r="G32" s="5">
        <v>1041479</v>
      </c>
      <c r="H32" s="5">
        <v>1182929</v>
      </c>
      <c r="I32" s="5">
        <v>1041093</v>
      </c>
      <c r="J32" s="5">
        <v>1122522</v>
      </c>
      <c r="K32" s="5">
        <v>1035570</v>
      </c>
      <c r="L32" s="5">
        <v>1073747</v>
      </c>
      <c r="M32" s="5">
        <v>1094470</v>
      </c>
      <c r="N32" s="5">
        <v>1157798</v>
      </c>
      <c r="O32" s="20">
        <v>13054606</v>
      </c>
      <c r="P32" s="24">
        <f t="shared" si="0"/>
        <v>2968216</v>
      </c>
      <c r="Q32" s="22">
        <v>1172731</v>
      </c>
      <c r="R32" s="22">
        <v>995388</v>
      </c>
      <c r="S32" s="22">
        <v>1232639</v>
      </c>
      <c r="T32" s="5"/>
      <c r="U32" s="5"/>
      <c r="V32" s="5"/>
      <c r="W32" s="5"/>
      <c r="X32" s="5"/>
      <c r="Y32" s="5"/>
      <c r="Z32" s="5"/>
      <c r="AA32" s="5"/>
      <c r="AB32" s="5"/>
      <c r="AC32" s="17">
        <f t="shared" si="5"/>
        <v>3400758</v>
      </c>
      <c r="AD32" s="31">
        <f t="shared" si="6"/>
        <v>3400758</v>
      </c>
      <c r="AE32" s="29">
        <f t="shared" si="1"/>
        <v>0.97565339758289715</v>
      </c>
      <c r="AF32" s="26">
        <f t="shared" si="7"/>
        <v>1.0643553870192708</v>
      </c>
      <c r="AG32" s="29">
        <f t="shared" si="2"/>
        <v>41.215658105322973</v>
      </c>
      <c r="AH32" s="29">
        <f t="shared" si="3"/>
        <v>23.835027145193632</v>
      </c>
      <c r="AI32" s="34">
        <f t="shared" si="4"/>
        <v>14.572456991000655</v>
      </c>
    </row>
    <row r="33" spans="2:35" x14ac:dyDescent="0.35">
      <c r="B33" s="10" t="s">
        <v>29</v>
      </c>
      <c r="C33" s="22">
        <v>406583</v>
      </c>
      <c r="D33" s="5">
        <v>386355</v>
      </c>
      <c r="E33" s="5">
        <v>348711</v>
      </c>
      <c r="F33" s="5">
        <v>500953</v>
      </c>
      <c r="G33" s="5">
        <v>442747</v>
      </c>
      <c r="H33" s="5">
        <v>501861</v>
      </c>
      <c r="I33" s="5">
        <v>449730</v>
      </c>
      <c r="J33" s="5">
        <v>539567</v>
      </c>
      <c r="K33" s="5">
        <v>441396</v>
      </c>
      <c r="L33" s="5">
        <v>456319</v>
      </c>
      <c r="M33" s="5">
        <v>462610</v>
      </c>
      <c r="N33" s="5">
        <v>501361</v>
      </c>
      <c r="O33" s="20">
        <v>3615962</v>
      </c>
      <c r="P33" s="24">
        <f t="shared" si="0"/>
        <v>1141649</v>
      </c>
      <c r="Q33" s="22">
        <v>484011</v>
      </c>
      <c r="R33" s="22">
        <v>419393</v>
      </c>
      <c r="S33" s="22">
        <v>556618</v>
      </c>
      <c r="T33" s="5"/>
      <c r="U33" s="5"/>
      <c r="V33" s="5"/>
      <c r="W33" s="5"/>
      <c r="X33" s="5"/>
      <c r="Y33" s="5"/>
      <c r="Z33" s="5"/>
      <c r="AA33" s="5"/>
      <c r="AB33" s="5"/>
      <c r="AC33" s="17">
        <f t="shared" si="5"/>
        <v>1460022</v>
      </c>
      <c r="AD33" s="31">
        <f t="shared" si="6"/>
        <v>1460022</v>
      </c>
      <c r="AE33" s="29">
        <f t="shared" si="1"/>
        <v>0.44057201082863434</v>
      </c>
      <c r="AF33" s="26">
        <f t="shared" si="7"/>
        <v>0.45695173866139549</v>
      </c>
      <c r="AG33" s="29">
        <f t="shared" si="2"/>
        <v>59.621577753497881</v>
      </c>
      <c r="AH33" s="29">
        <f t="shared" si="3"/>
        <v>32.719907103838167</v>
      </c>
      <c r="AI33" s="34">
        <f t="shared" si="4"/>
        <v>27.887117669266122</v>
      </c>
    </row>
    <row r="34" spans="2:35" x14ac:dyDescent="0.35">
      <c r="B34" s="10" t="s">
        <v>30</v>
      </c>
      <c r="C34" s="22">
        <v>402758</v>
      </c>
      <c r="D34" s="5">
        <v>375314</v>
      </c>
      <c r="E34" s="5">
        <v>318597</v>
      </c>
      <c r="F34" s="5">
        <v>471122</v>
      </c>
      <c r="G34" s="5">
        <v>365131</v>
      </c>
      <c r="H34" s="5">
        <v>424430</v>
      </c>
      <c r="I34" s="5">
        <v>393006</v>
      </c>
      <c r="J34" s="5">
        <v>361462</v>
      </c>
      <c r="K34" s="5">
        <v>374967</v>
      </c>
      <c r="L34" s="5">
        <v>385010</v>
      </c>
      <c r="M34" s="5">
        <v>382628</v>
      </c>
      <c r="N34" s="5">
        <v>426584</v>
      </c>
      <c r="O34" s="20">
        <v>4335480</v>
      </c>
      <c r="P34" s="24">
        <f t="shared" si="0"/>
        <v>1096669</v>
      </c>
      <c r="Q34" s="22">
        <v>422540</v>
      </c>
      <c r="R34" s="22">
        <v>346648</v>
      </c>
      <c r="S34" s="22">
        <v>455980</v>
      </c>
      <c r="T34" s="5"/>
      <c r="U34" s="5"/>
      <c r="V34" s="5"/>
      <c r="W34" s="5"/>
      <c r="X34" s="5"/>
      <c r="Y34" s="5"/>
      <c r="Z34" s="5"/>
      <c r="AA34" s="5"/>
      <c r="AB34" s="5"/>
      <c r="AC34" s="17">
        <f t="shared" si="5"/>
        <v>1225168</v>
      </c>
      <c r="AD34" s="31">
        <f t="shared" si="6"/>
        <v>1225168</v>
      </c>
      <c r="AE34" s="29">
        <f t="shared" si="1"/>
        <v>0.36091543122507841</v>
      </c>
      <c r="AF34" s="26">
        <f t="shared" si="7"/>
        <v>0.38344809033857336</v>
      </c>
      <c r="AG34" s="29">
        <f t="shared" si="2"/>
        <v>43.121247218272615</v>
      </c>
      <c r="AH34" s="29">
        <f t="shared" si="3"/>
        <v>31.539775218665621</v>
      </c>
      <c r="AI34" s="34">
        <f t="shared" si="4"/>
        <v>11.717209112321038</v>
      </c>
    </row>
    <row r="35" spans="2:35" x14ac:dyDescent="0.35">
      <c r="B35" s="10" t="s">
        <v>31</v>
      </c>
      <c r="C35" s="22">
        <v>299422</v>
      </c>
      <c r="D35" s="5">
        <v>273554</v>
      </c>
      <c r="E35" s="5">
        <v>261075</v>
      </c>
      <c r="F35" s="5">
        <v>362248</v>
      </c>
      <c r="G35" s="5">
        <v>279574</v>
      </c>
      <c r="H35" s="5">
        <v>288624</v>
      </c>
      <c r="I35" s="5">
        <v>303426</v>
      </c>
      <c r="J35" s="5">
        <v>257115</v>
      </c>
      <c r="K35" s="5">
        <v>281281</v>
      </c>
      <c r="L35" s="5">
        <v>294401</v>
      </c>
      <c r="M35" s="5">
        <v>311119</v>
      </c>
      <c r="N35" s="5">
        <v>336967</v>
      </c>
      <c r="O35" s="20">
        <v>2051670</v>
      </c>
      <c r="P35" s="24">
        <f t="shared" si="0"/>
        <v>834051</v>
      </c>
      <c r="Q35" s="22">
        <v>327126</v>
      </c>
      <c r="R35" s="22">
        <v>289637</v>
      </c>
      <c r="S35" s="22">
        <v>376653</v>
      </c>
      <c r="T35" s="5"/>
      <c r="U35" s="5"/>
      <c r="V35" s="5"/>
      <c r="W35" s="5"/>
      <c r="X35" s="5"/>
      <c r="Y35" s="5"/>
      <c r="Z35" s="5"/>
      <c r="AA35" s="5"/>
      <c r="AB35" s="5"/>
      <c r="AC35" s="17">
        <f t="shared" si="5"/>
        <v>993416</v>
      </c>
      <c r="AD35" s="31">
        <f t="shared" si="6"/>
        <v>993416</v>
      </c>
      <c r="AE35" s="29">
        <f t="shared" si="1"/>
        <v>0.29812684748721319</v>
      </c>
      <c r="AF35" s="26">
        <f t="shared" si="7"/>
        <v>0.31091529334081869</v>
      </c>
      <c r="AG35" s="29">
        <f t="shared" si="2"/>
        <v>44.270037345590346</v>
      </c>
      <c r="AH35" s="29">
        <f t="shared" si="3"/>
        <v>30.043122943546578</v>
      </c>
      <c r="AI35" s="34">
        <f t="shared" si="4"/>
        <v>19.107344754697255</v>
      </c>
    </row>
    <row r="36" spans="2:35" x14ac:dyDescent="0.35">
      <c r="B36" s="10" t="s">
        <v>32</v>
      </c>
      <c r="C36" s="22">
        <v>325023</v>
      </c>
      <c r="D36" s="5">
        <v>286017</v>
      </c>
      <c r="E36" s="5">
        <v>275501</v>
      </c>
      <c r="F36" s="5">
        <v>362238</v>
      </c>
      <c r="G36" s="5">
        <v>289167</v>
      </c>
      <c r="H36" s="5">
        <v>308862</v>
      </c>
      <c r="I36" s="5">
        <v>307176</v>
      </c>
      <c r="J36" s="5">
        <v>299838</v>
      </c>
      <c r="K36" s="5">
        <v>282696</v>
      </c>
      <c r="L36" s="5">
        <v>294386</v>
      </c>
      <c r="M36" s="5">
        <v>286132</v>
      </c>
      <c r="N36" s="5">
        <v>342978</v>
      </c>
      <c r="O36" s="20">
        <v>2410462</v>
      </c>
      <c r="P36" s="24">
        <f t="shared" si="0"/>
        <v>886541</v>
      </c>
      <c r="Q36" s="22">
        <v>362937</v>
      </c>
      <c r="R36" s="22">
        <v>283861</v>
      </c>
      <c r="S36" s="22">
        <v>378117</v>
      </c>
      <c r="T36" s="5"/>
      <c r="U36" s="5"/>
      <c r="V36" s="5"/>
      <c r="W36" s="5"/>
      <c r="X36" s="5"/>
      <c r="Y36" s="5"/>
      <c r="Z36" s="5"/>
      <c r="AA36" s="5"/>
      <c r="AB36" s="5"/>
      <c r="AC36" s="17">
        <f t="shared" si="5"/>
        <v>1024915</v>
      </c>
      <c r="AD36" s="31">
        <f t="shared" si="6"/>
        <v>1024915</v>
      </c>
      <c r="AE36" s="29">
        <f t="shared" si="1"/>
        <v>0.2992856268005899</v>
      </c>
      <c r="AF36" s="26">
        <f t="shared" si="7"/>
        <v>0.32077372206045118</v>
      </c>
      <c r="AG36" s="29">
        <f t="shared" si="2"/>
        <v>37.247051734839438</v>
      </c>
      <c r="AH36" s="29">
        <f t="shared" si="3"/>
        <v>33.204984129556372</v>
      </c>
      <c r="AI36" s="34">
        <f t="shared" si="4"/>
        <v>15.608302379698175</v>
      </c>
    </row>
    <row r="37" spans="2:35" x14ac:dyDescent="0.35">
      <c r="B37" s="10" t="s">
        <v>33</v>
      </c>
      <c r="C37" s="22">
        <v>91074</v>
      </c>
      <c r="D37" s="5">
        <v>63083</v>
      </c>
      <c r="E37" s="5">
        <v>56312</v>
      </c>
      <c r="F37" s="5">
        <v>81033</v>
      </c>
      <c r="G37" s="5">
        <v>58797</v>
      </c>
      <c r="H37" s="5">
        <v>66070</v>
      </c>
      <c r="I37" s="5">
        <v>77183</v>
      </c>
      <c r="J37" s="5">
        <v>66983</v>
      </c>
      <c r="K37" s="5">
        <v>66402</v>
      </c>
      <c r="L37" s="5">
        <v>76905</v>
      </c>
      <c r="M37" s="5">
        <v>71782</v>
      </c>
      <c r="N37" s="5">
        <v>81989</v>
      </c>
      <c r="O37" s="20">
        <v>550251</v>
      </c>
      <c r="P37" s="24">
        <f t="shared" si="0"/>
        <v>210469</v>
      </c>
      <c r="Q37" s="22">
        <v>101185</v>
      </c>
      <c r="R37" s="22">
        <v>71681</v>
      </c>
      <c r="S37" s="22">
        <v>85509</v>
      </c>
      <c r="T37" s="5"/>
      <c r="U37" s="5"/>
      <c r="V37" s="5"/>
      <c r="W37" s="5"/>
      <c r="X37" s="5"/>
      <c r="Y37" s="5"/>
      <c r="Z37" s="5"/>
      <c r="AA37" s="5"/>
      <c r="AB37" s="5"/>
      <c r="AC37" s="17">
        <f t="shared" si="5"/>
        <v>258375</v>
      </c>
      <c r="AD37" s="31">
        <f t="shared" si="6"/>
        <v>258375</v>
      </c>
      <c r="AE37" s="29">
        <f t="shared" si="1"/>
        <v>6.7681735182738789E-2</v>
      </c>
      <c r="AF37" s="26">
        <f t="shared" si="7"/>
        <v>8.0865155098099925E-2</v>
      </c>
      <c r="AG37" s="29">
        <f t="shared" si="2"/>
        <v>51.848629066628781</v>
      </c>
      <c r="AH37" s="29">
        <f t="shared" si="3"/>
        <v>19.291025515827069</v>
      </c>
      <c r="AI37" s="34">
        <f t="shared" si="4"/>
        <v>22.761546831124775</v>
      </c>
    </row>
    <row r="38" spans="2:35" x14ac:dyDescent="0.35">
      <c r="B38" s="10" t="s">
        <v>34</v>
      </c>
      <c r="C38" s="22">
        <v>148143</v>
      </c>
      <c r="D38" s="5">
        <v>125957</v>
      </c>
      <c r="E38" s="5">
        <v>121684</v>
      </c>
      <c r="F38" s="5">
        <v>148359</v>
      </c>
      <c r="G38" s="5">
        <v>126672</v>
      </c>
      <c r="H38" s="5">
        <v>132902</v>
      </c>
      <c r="I38" s="5">
        <v>141226</v>
      </c>
      <c r="J38" s="5">
        <v>134688</v>
      </c>
      <c r="K38" s="5">
        <v>135126</v>
      </c>
      <c r="L38" s="5">
        <v>143327</v>
      </c>
      <c r="M38" s="5">
        <v>146713</v>
      </c>
      <c r="N38" s="5">
        <v>170917</v>
      </c>
      <c r="O38" s="20">
        <v>970663</v>
      </c>
      <c r="P38" s="24">
        <f t="shared" si="0"/>
        <v>395784</v>
      </c>
      <c r="Q38" s="22">
        <v>167656</v>
      </c>
      <c r="R38" s="22">
        <v>131890</v>
      </c>
      <c r="S38" s="22">
        <v>151649</v>
      </c>
      <c r="T38" s="5"/>
      <c r="U38" s="5"/>
      <c r="V38" s="5"/>
      <c r="W38" s="5"/>
      <c r="X38" s="5"/>
      <c r="Y38" s="5"/>
      <c r="Z38" s="5"/>
      <c r="AA38" s="5"/>
      <c r="AB38" s="5"/>
      <c r="AC38" s="17">
        <f t="shared" si="5"/>
        <v>451195</v>
      </c>
      <c r="AD38" s="31">
        <f t="shared" si="6"/>
        <v>451195</v>
      </c>
      <c r="AE38" s="29">
        <f t="shared" si="1"/>
        <v>0.12003259842504478</v>
      </c>
      <c r="AF38" s="26">
        <f t="shared" si="7"/>
        <v>0.1412131733119969</v>
      </c>
      <c r="AG38" s="29">
        <f t="shared" si="2"/>
        <v>24.625258867229874</v>
      </c>
      <c r="AH38" s="29">
        <f t="shared" si="3"/>
        <v>14.981423913867618</v>
      </c>
      <c r="AI38" s="34">
        <f t="shared" si="4"/>
        <v>14.000313302205244</v>
      </c>
    </row>
    <row r="39" spans="2:35" x14ac:dyDescent="0.35">
      <c r="B39" s="10" t="s">
        <v>35</v>
      </c>
      <c r="C39" s="22">
        <v>218200</v>
      </c>
      <c r="D39" s="5">
        <v>184551</v>
      </c>
      <c r="E39" s="5">
        <v>165580</v>
      </c>
      <c r="F39" s="5">
        <v>204612</v>
      </c>
      <c r="G39" s="5">
        <v>203947</v>
      </c>
      <c r="H39" s="5">
        <v>230929</v>
      </c>
      <c r="I39" s="5">
        <v>244911</v>
      </c>
      <c r="J39" s="5">
        <v>228643</v>
      </c>
      <c r="K39" s="5">
        <v>221248</v>
      </c>
      <c r="L39" s="5">
        <v>225800</v>
      </c>
      <c r="M39" s="5">
        <v>234521</v>
      </c>
      <c r="N39" s="5">
        <v>260014</v>
      </c>
      <c r="O39" s="20">
        <v>1394698</v>
      </c>
      <c r="P39" s="24">
        <f t="shared" si="0"/>
        <v>568331</v>
      </c>
      <c r="Q39" s="22">
        <v>272063</v>
      </c>
      <c r="R39" s="22">
        <v>223814</v>
      </c>
      <c r="S39" s="22">
        <v>253147</v>
      </c>
      <c r="T39" s="5"/>
      <c r="U39" s="5"/>
      <c r="V39" s="5"/>
      <c r="W39" s="5"/>
      <c r="X39" s="5"/>
      <c r="Y39" s="5"/>
      <c r="Z39" s="5"/>
      <c r="AA39" s="5"/>
      <c r="AB39" s="5"/>
      <c r="AC39" s="17">
        <f t="shared" si="5"/>
        <v>749024</v>
      </c>
      <c r="AD39" s="31">
        <f t="shared" si="6"/>
        <v>749024</v>
      </c>
      <c r="AE39" s="29">
        <f t="shared" si="1"/>
        <v>0.20036988172361711</v>
      </c>
      <c r="AF39" s="26">
        <f t="shared" si="7"/>
        <v>0.23442648062776661</v>
      </c>
      <c r="AG39" s="29">
        <f t="shared" si="2"/>
        <v>52.885010266940448</v>
      </c>
      <c r="AH39" s="29">
        <f t="shared" si="3"/>
        <v>13.105971923114728</v>
      </c>
      <c r="AI39" s="34">
        <f t="shared" si="4"/>
        <v>31.793620267062678</v>
      </c>
    </row>
    <row r="40" spans="2:35" x14ac:dyDescent="0.35">
      <c r="B40" s="10" t="s">
        <v>36</v>
      </c>
      <c r="C40" s="22">
        <v>31537</v>
      </c>
      <c r="D40" s="5">
        <v>21953</v>
      </c>
      <c r="E40" s="5">
        <v>20368</v>
      </c>
      <c r="F40" s="5">
        <v>33143</v>
      </c>
      <c r="G40" s="5">
        <v>24214</v>
      </c>
      <c r="H40" s="5">
        <v>26365</v>
      </c>
      <c r="I40" s="5">
        <v>32851</v>
      </c>
      <c r="J40" s="5">
        <v>27507</v>
      </c>
      <c r="K40" s="5">
        <v>27899</v>
      </c>
      <c r="L40" s="5">
        <v>29708</v>
      </c>
      <c r="M40" s="5">
        <v>30488</v>
      </c>
      <c r="N40" s="5">
        <v>32407</v>
      </c>
      <c r="O40" s="20">
        <v>224979</v>
      </c>
      <c r="P40" s="24">
        <f t="shared" si="0"/>
        <v>73858</v>
      </c>
      <c r="Q40" s="22">
        <v>34379</v>
      </c>
      <c r="R40" s="22">
        <v>23654</v>
      </c>
      <c r="S40" s="22">
        <v>28087</v>
      </c>
      <c r="T40" s="5"/>
      <c r="U40" s="5"/>
      <c r="V40" s="5"/>
      <c r="W40" s="5"/>
      <c r="X40" s="5"/>
      <c r="Y40" s="5"/>
      <c r="Z40" s="5"/>
      <c r="AA40" s="5"/>
      <c r="AB40" s="5"/>
      <c r="AC40" s="17">
        <f t="shared" si="5"/>
        <v>86120</v>
      </c>
      <c r="AD40" s="31">
        <f t="shared" si="6"/>
        <v>86120</v>
      </c>
      <c r="AE40" s="29">
        <f t="shared" si="1"/>
        <v>2.22313077696802E-2</v>
      </c>
      <c r="AF40" s="26">
        <f t="shared" si="7"/>
        <v>2.6953486819732423E-2</v>
      </c>
      <c r="AG40" s="29">
        <f t="shared" si="2"/>
        <v>37.897682639434407</v>
      </c>
      <c r="AH40" s="29">
        <f t="shared" si="3"/>
        <v>18.741016318593051</v>
      </c>
      <c r="AI40" s="34">
        <f t="shared" si="4"/>
        <v>16.602128408567793</v>
      </c>
    </row>
    <row r="41" spans="2:35" x14ac:dyDescent="0.35">
      <c r="B41" s="10" t="s">
        <v>37</v>
      </c>
      <c r="C41" s="22">
        <v>111773</v>
      </c>
      <c r="D41" s="5">
        <v>84518</v>
      </c>
      <c r="E41" s="5">
        <v>73186</v>
      </c>
      <c r="F41" s="5">
        <v>103708</v>
      </c>
      <c r="G41" s="5">
        <v>89011</v>
      </c>
      <c r="H41" s="5">
        <v>90057</v>
      </c>
      <c r="I41" s="5">
        <v>109065</v>
      </c>
      <c r="J41" s="5">
        <v>85260</v>
      </c>
      <c r="K41" s="5">
        <v>82422</v>
      </c>
      <c r="L41" s="5">
        <v>102236</v>
      </c>
      <c r="M41" s="5">
        <v>111561</v>
      </c>
      <c r="N41" s="5">
        <v>123068</v>
      </c>
      <c r="O41" s="20">
        <v>603112</v>
      </c>
      <c r="P41" s="24">
        <f t="shared" si="0"/>
        <v>269477</v>
      </c>
      <c r="Q41" s="22">
        <v>113711</v>
      </c>
      <c r="R41" s="22">
        <v>73110</v>
      </c>
      <c r="S41" s="22">
        <v>79199</v>
      </c>
      <c r="T41" s="5"/>
      <c r="U41" s="5"/>
      <c r="V41" s="5"/>
      <c r="W41" s="5"/>
      <c r="X41" s="5"/>
      <c r="Y41" s="5"/>
      <c r="Z41" s="5"/>
      <c r="AA41" s="5"/>
      <c r="AB41" s="5"/>
      <c r="AC41" s="17">
        <f t="shared" si="5"/>
        <v>266020</v>
      </c>
      <c r="AD41" s="31">
        <f t="shared" si="6"/>
        <v>266020</v>
      </c>
      <c r="AE41" s="29">
        <f t="shared" si="1"/>
        <v>6.2687269699537237E-2</v>
      </c>
      <c r="AF41" s="26">
        <f t="shared" si="7"/>
        <v>8.3257856058815846E-2</v>
      </c>
      <c r="AG41" s="29">
        <f t="shared" si="2"/>
        <v>8.2160522504304101</v>
      </c>
      <c r="AH41" s="29">
        <f t="shared" si="3"/>
        <v>8.3285460265353581</v>
      </c>
      <c r="AI41" s="34">
        <f t="shared" si="4"/>
        <v>-1.2828553086163197</v>
      </c>
    </row>
    <row r="42" spans="2:35" ht="16" thickBot="1" x14ac:dyDescent="0.4">
      <c r="B42" s="10" t="s">
        <v>38</v>
      </c>
      <c r="C42" s="22">
        <v>85556</v>
      </c>
      <c r="D42" s="5">
        <v>63311</v>
      </c>
      <c r="E42" s="5">
        <v>76420</v>
      </c>
      <c r="F42" s="5">
        <v>74941</v>
      </c>
      <c r="G42" s="5">
        <v>77985</v>
      </c>
      <c r="H42" s="5">
        <v>79703</v>
      </c>
      <c r="I42" s="5">
        <v>94788</v>
      </c>
      <c r="J42" s="5">
        <v>89028</v>
      </c>
      <c r="K42" s="5">
        <v>85039</v>
      </c>
      <c r="L42" s="5">
        <v>99922</v>
      </c>
      <c r="M42" s="5">
        <v>106276</v>
      </c>
      <c r="N42" s="5">
        <v>111805</v>
      </c>
      <c r="O42" s="20">
        <v>481290</v>
      </c>
      <c r="P42" s="24">
        <f t="shared" si="0"/>
        <v>225287</v>
      </c>
      <c r="Q42" s="22">
        <v>105408</v>
      </c>
      <c r="R42" s="22">
        <v>74491</v>
      </c>
      <c r="S42" s="22">
        <v>83123</v>
      </c>
      <c r="T42" s="5"/>
      <c r="U42" s="5"/>
      <c r="V42" s="5"/>
      <c r="W42" s="5"/>
      <c r="X42" s="5"/>
      <c r="Y42" s="5"/>
      <c r="Z42" s="5"/>
      <c r="AA42" s="5"/>
      <c r="AB42" s="5"/>
      <c r="AC42" s="17">
        <f t="shared" si="5"/>
        <v>263022</v>
      </c>
      <c r="AD42" s="31">
        <f t="shared" si="6"/>
        <v>263022</v>
      </c>
      <c r="AE42" s="29">
        <f t="shared" si="1"/>
        <v>6.5793178187030565E-2</v>
      </c>
      <c r="AF42" s="26">
        <f t="shared" si="7"/>
        <v>8.2319554230140063E-2</v>
      </c>
      <c r="AG42" s="29">
        <f t="shared" si="2"/>
        <v>8.7712640669981674</v>
      </c>
      <c r="AH42" s="29">
        <f t="shared" si="3"/>
        <v>11.587977071055564</v>
      </c>
      <c r="AI42" s="34">
        <f t="shared" si="4"/>
        <v>16.749745879700114</v>
      </c>
    </row>
    <row r="43" spans="2:35" s="6" customFormat="1" ht="16" thickBot="1" x14ac:dyDescent="0.4">
      <c r="B43" s="14" t="s">
        <v>39</v>
      </c>
      <c r="C43" s="15">
        <f>SUM(C5:C42)</f>
        <v>102998948</v>
      </c>
      <c r="D43" s="15">
        <f t="shared" ref="D43:M43" si="8">SUM(D5:D42)</f>
        <v>90497800</v>
      </c>
      <c r="E43" s="15">
        <f t="shared" si="8"/>
        <v>88909481</v>
      </c>
      <c r="F43" s="15">
        <f t="shared" si="8"/>
        <v>128587806</v>
      </c>
      <c r="G43" s="15">
        <f t="shared" si="8"/>
        <v>97673863</v>
      </c>
      <c r="H43" s="15">
        <f t="shared" si="8"/>
        <v>105115881</v>
      </c>
      <c r="I43" s="15">
        <f t="shared" si="8"/>
        <v>100197984</v>
      </c>
      <c r="J43" s="15">
        <f t="shared" si="8"/>
        <v>93566867</v>
      </c>
      <c r="K43" s="15">
        <f t="shared" si="8"/>
        <v>94355423</v>
      </c>
      <c r="L43" s="15">
        <f t="shared" si="8"/>
        <v>96001666</v>
      </c>
      <c r="M43" s="15">
        <f t="shared" si="8"/>
        <v>96448709</v>
      </c>
      <c r="N43" s="15">
        <f>SUM(N5:N42)</f>
        <v>105978131</v>
      </c>
      <c r="O43" s="15">
        <f>SUM(O5:O42)</f>
        <v>1021084031</v>
      </c>
      <c r="P43" s="18">
        <f>SUM(P5:P42)</f>
        <v>282406229</v>
      </c>
      <c r="Q43" s="15">
        <f>SUM(Q5:Q42)</f>
        <v>102038288</v>
      </c>
      <c r="R43" s="15">
        <f t="shared" ref="R43:AB43" si="9">SUM(R5:R42)</f>
        <v>91135258</v>
      </c>
      <c r="S43" s="15">
        <f t="shared" si="9"/>
        <v>126339846</v>
      </c>
      <c r="T43" s="15">
        <f t="shared" si="9"/>
        <v>0</v>
      </c>
      <c r="U43" s="15">
        <f t="shared" si="9"/>
        <v>0</v>
      </c>
      <c r="V43" s="15">
        <f t="shared" si="9"/>
        <v>0</v>
      </c>
      <c r="W43" s="15">
        <f t="shared" si="9"/>
        <v>0</v>
      </c>
      <c r="X43" s="15">
        <f t="shared" si="9"/>
        <v>0</v>
      </c>
      <c r="Y43" s="15">
        <f t="shared" si="9"/>
        <v>0</v>
      </c>
      <c r="Z43" s="15">
        <f t="shared" si="9"/>
        <v>0</v>
      </c>
      <c r="AA43" s="15">
        <f t="shared" si="9"/>
        <v>0</v>
      </c>
      <c r="AB43" s="15">
        <f t="shared" si="9"/>
        <v>0</v>
      </c>
      <c r="AC43" s="15">
        <f>SUM(AD5:AD42)</f>
        <v>319513392</v>
      </c>
      <c r="AD43" s="18">
        <f>SUM(AD5:AD42)</f>
        <v>319513392</v>
      </c>
      <c r="AE43" s="32">
        <f>Q43/$Q$43*100</f>
        <v>100</v>
      </c>
      <c r="AF43" s="16">
        <f>AD43/$AD$43*100</f>
        <v>100</v>
      </c>
      <c r="AG43" s="32">
        <f>(S43-E43)/E43*100</f>
        <v>42.099407823559339</v>
      </c>
      <c r="AH43" s="32">
        <f>(S43-R43)/R43*100</f>
        <v>38.628944244608384</v>
      </c>
      <c r="AI43" s="35">
        <f>(AD43-P43)/P43*100</f>
        <v>13.13964041494283</v>
      </c>
    </row>
    <row r="44" spans="2:35" ht="16" thickTop="1" x14ac:dyDescent="0.35"/>
    <row r="45" spans="2:35" x14ac:dyDescent="0.4">
      <c r="B45" s="41" t="s">
        <v>40</v>
      </c>
      <c r="C45" s="42"/>
      <c r="D45" s="42"/>
    </row>
    <row r="46" spans="2:35" x14ac:dyDescent="0.35">
      <c r="B46" s="7" t="s">
        <v>41</v>
      </c>
      <c r="C46" s="8"/>
      <c r="D46" s="8"/>
    </row>
  </sheetData>
  <mergeCells count="10">
    <mergeCell ref="AG3:AI3"/>
    <mergeCell ref="P3:P4"/>
    <mergeCell ref="AD3:AD4"/>
    <mergeCell ref="B45:D45"/>
    <mergeCell ref="C3:N3"/>
    <mergeCell ref="O3:O4"/>
    <mergeCell ref="Q3:AB3"/>
    <mergeCell ref="AE3:AF3"/>
    <mergeCell ref="AC3:AC4"/>
    <mergeCell ref="B3:B4"/>
  </mergeCells>
  <phoneticPr fontId="14" type="noConversion"/>
  <printOptions verticalCentered="1"/>
  <pageMargins left="0.70866141732283472" right="0.70866141732283472" top="0.15748031496062992" bottom="0.15748031496062992" header="0.31496062992125984" footer="0.31496062992125984"/>
  <pageSetup paperSize="9" scale="6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Asal</vt:lpstr>
      <vt:lpstr>Asal!Print_Area</vt:lpstr>
      <vt:lpstr>Asal!Print_Titles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Adimas Raka</dc:creator>
  <cp:lastModifiedBy>Ryan Ardias</cp:lastModifiedBy>
  <cp:lastPrinted>2026-04-01T07:22:51Z</cp:lastPrinted>
  <dcterms:created xsi:type="dcterms:W3CDTF">2025-03-06T05:19:12Z</dcterms:created>
  <dcterms:modified xsi:type="dcterms:W3CDTF">2026-05-04T06:13:09Z</dcterms:modified>
</cp:coreProperties>
</file>