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raca per Negara" sheetId="1" state="visible" r:id="rId1"/>
    <sheet xmlns:r="http://schemas.openxmlformats.org/officeDocument/2006/relationships" name="Perbandingan Sumber" sheetId="2" state="visible" r:id="rId2"/>
    <sheet xmlns:r="http://schemas.openxmlformats.org/officeDocument/2006/relationships" name="BPS – Perhitungan" sheetId="3" state="visible" r:id="rId3"/>
    <sheet xmlns:r="http://schemas.openxmlformats.org/officeDocument/2006/relationships" name="Mirror – OECD TIS" sheetId="4" state="visible" r:id="rId4"/>
    <sheet xmlns:r="http://schemas.openxmlformats.org/officeDocument/2006/relationships" name="Mirror – Eurostat" sheetId="5" state="visible" r:id="rId5"/>
    <sheet xmlns:r="http://schemas.openxmlformats.org/officeDocument/2006/relationships" name="Mirror – ABS" sheetId="6" state="visible" r:id="rId6"/>
    <sheet xmlns:r="http://schemas.openxmlformats.org/officeDocument/2006/relationships" name="BaTIS Data" sheetId="7" state="visible" r:id="rId7"/>
    <sheet xmlns:r="http://schemas.openxmlformats.org/officeDocument/2006/relationships" name="BaTIS – Cara Model" sheetId="8" state="visible" r:id="rId8"/>
    <sheet xmlns:r="http://schemas.openxmlformats.org/officeDocument/2006/relationships" name="Data Negara Tujuan" sheetId="9" state="visible" r:id="rId9"/>
    <sheet xmlns:r="http://schemas.openxmlformats.org/officeDocument/2006/relationships" name="Tren" sheetId="10" state="visible" r:id="rId10"/>
    <sheet xmlns:r="http://schemas.openxmlformats.org/officeDocument/2006/relationships" name="Rekonsiliasi" sheetId="11" state="visible" r:id="rId11"/>
    <sheet xmlns:r="http://schemas.openxmlformats.org/officeDocument/2006/relationships" name="Sumb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;&quot;–&quot;"/>
    <numFmt numFmtId="165" formatCode="#,##0;(#,##0);&quot;–&quot;"/>
    <numFmt numFmtId="166" formatCode="0%;-0%;&quot;–&quot;"/>
  </numFmts>
  <fonts count="15">
    <font>
      <name val="Calibri"/>
      <family val="2"/>
      <color theme="1"/>
      <sz val="11"/>
      <scheme val="minor"/>
    </font>
    <font>
      <name val="Arial"/>
      <b val="1"/>
      <color rgb="00051C2C"/>
      <sz val="14"/>
    </font>
    <font>
      <name val="Arial"/>
      <i val="1"/>
      <color rgb="00595959"/>
      <sz val="9"/>
    </font>
    <font>
      <name val="Arial"/>
      <b val="1"/>
      <color rgb="00051C2C"/>
      <sz val="10"/>
    </font>
    <font>
      <name val="Arial"/>
      <color rgb="002251FF"/>
      <sz val="9"/>
      <u val="single"/>
    </font>
    <font>
      <name val="Arial"/>
      <b val="1"/>
      <color rgb="00404040"/>
      <sz val="9"/>
    </font>
    <font>
      <name val="Arial"/>
      <b val="1"/>
      <color rgb="00FFFFFF"/>
      <sz val="9"/>
    </font>
    <font>
      <name val="Arial"/>
      <i val="1"/>
      <color rgb="00404040"/>
      <sz val="8"/>
    </font>
    <font>
      <name val="Arial"/>
      <sz val="10"/>
    </font>
    <font>
      <name val="Arial"/>
      <b val="1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sz val="9"/>
    </font>
    <font>
      <name val="Arial"/>
      <b val="1"/>
      <color rgb="00051C2C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51C2C"/>
      </patternFill>
    </fill>
    <fill>
      <patternFill patternType="solid">
        <fgColor rgb="00EDEDED"/>
      </patternFill>
    </fill>
    <fill>
      <patternFill patternType="solid">
        <fgColor rgb="002251FF"/>
      </patternFill>
    </fill>
  </fills>
  <borders count="2">
    <border>
      <left/>
      <right/>
      <top/>
      <bottom/>
      <diagonal/>
    </border>
    <border>
      <bottom style="hair">
        <color rgb="00A2AAA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top" wrapText="1"/>
    </xf>
    <xf numFmtId="0" fontId="8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0" fontId="9" fillId="0" borderId="0" pivotButton="0" quotePrefix="0" xfId="0"/>
    <xf numFmtId="0" fontId="6" fillId="4" borderId="0" pivotButton="0" quotePrefix="0" xfId="0"/>
    <xf numFmtId="0" fontId="8" fillId="0" borderId="0" pivotButton="0" quotePrefix="0" xfId="0"/>
    <xf numFmtId="0" fontId="10" fillId="4" borderId="0" pivotButton="0" quotePrefix="0" xfId="0"/>
    <xf numFmtId="0" fontId="11" fillId="0" borderId="0" pivotButton="0" quotePrefix="0" xfId="0"/>
    <xf numFmtId="0" fontId="12" fillId="0" borderId="0" pivotButton="0" quotePrefix="0" xfId="0"/>
    <xf numFmtId="166" fontId="8" fillId="0" borderId="1" pivotButton="0" quotePrefix="0" xfId="0"/>
    <xf numFmtId="0" fontId="13" fillId="0" borderId="0" pivotButton="0" quotePrefix="0" xfId="0"/>
    <xf numFmtId="0" fontId="14" fillId="0" borderId="1" pivotButton="0" quotePrefix="0" xfId="0"/>
    <xf numFmtId="164" fontId="14" fillId="0" borderId="1" pivotButton="0" quotePrefix="0" xfId="0"/>
    <xf numFmtId="165" fontId="0" fillId="0" borderId="0" pivotButton="0" quotePrefix="0" xfId="0"/>
    <xf numFmtId="2" fontId="8" fillId="0" borderId="1" pivotButton="0" quotePrefix="0" xfId="0"/>
    <xf numFmtId="0" fontId="14" fillId="0" borderId="0" pivotButton="0" quotePrefix="0" xfId="0"/>
    <xf numFmtId="164" fontId="14" fillId="0" borderId="0" pivotButton="0" quotePrefix="0" xfId="0"/>
    <xf numFmtId="0" fontId="4" fillId="0" borderId="1" pivotButton="0" quotePrefix="0" xfId="0"/>
    <xf numFmtId="0" fontId="8" fillId="0" borderId="1" applyAlignment="1" pivotButton="0" quotePrefix="0" xfId="0">
      <alignment vertical="top" wrapText="1"/>
    </xf>
    <xf numFmtId="9" fontId="8" fillId="0" borderId="1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Wisatawan dari Australia paling banyak belanja di Indonesia</a:t>
            </a:r>
          </a:p>
          <a:p xmlns:a="http://schemas.openxmlformats.org/drawingml/2006/main">
            <a:pPr>
              <a:defRPr/>
            </a:pPr>
            <a:r>
              <a:t>Kredit Indonesia · Top 5 · USD juta · 2024 · Sumber: BPS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'Neraca per Negara'!$G$12:$G$16</f>
            </numRef>
          </cat>
          <val>
            <numRef>
              <f>'Neraca per Negara'!$H$12:$H$16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Penduduk Indonesia paling banyak belanja di Arab Saudi</a:t>
            </a:r>
          </a:p>
          <a:p xmlns:a="http://schemas.openxmlformats.org/drawingml/2006/main">
            <a:pPr>
              <a:defRPr/>
            </a:pPr>
            <a:r>
              <a:t>Debit Indonesia · Top 5 · USD juta · 2024 · Sumber: BPS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'Neraca per Negara'!$G$20:$G$24</f>
            </numRef>
          </cat>
          <val>
            <numRef>
              <f>'Neraca per Negara'!$H$20:$H$24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Surplus terbesar dengan Australia, defisit terbesar dengan Arab Saudi</a:t>
            </a:r>
          </a:p>
          <a:p xmlns:a="http://schemas.openxmlformats.org/drawingml/2006/main">
            <a:pPr>
              <a:defRPr/>
            </a:pPr>
            <a:r>
              <a:t>Neraca Indonesia = kredit − debit; batang ke kiri = defisit · Top 5 · USD juta · 2024 · Sumber: BPS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'Neraca per Negara'!$G$28:$G$37</f>
            </numRef>
          </cat>
          <val>
            <numRef>
              <f>'Neraca per Negara'!$H$28:$H$37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Wisatawan dari Australia paling banyak belanja di Indonesia</a:t>
            </a:r>
          </a:p>
          <a:p xmlns:a="http://schemas.openxmlformats.org/drawingml/2006/main">
            <a:pPr>
              <a:defRPr/>
            </a:pPr>
            <a:r>
              <a:t>Kredit Indonesia · Top 5 · USD juta · 2024 · Sumber: OECD TIS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OECD TIS'!$G$6:$G$10</f>
            </numRef>
          </cat>
          <val>
            <numRef>
              <f>'Mirror – OECD TIS'!$H$6:$H$10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Penduduk Indonesia paling banyak belanja di Australia</a:t>
            </a:r>
          </a:p>
          <a:p xmlns:a="http://schemas.openxmlformats.org/drawingml/2006/main">
            <a:pPr>
              <a:defRPr/>
            </a:pPr>
            <a:r>
              <a:t>Debit Indonesia · Top 5 · USD juta · 2024 · Sumber: OECD TIS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OECD TIS'!$G$14:$G$18</f>
            </numRef>
          </cat>
          <val>
            <numRef>
              <f>'Mirror – OECD TIS'!$H$14:$H$18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Surplus terbesar dengan Australia, defisit terbesar dengan Jepang</a:t>
            </a:r>
          </a:p>
          <a:p xmlns:a="http://schemas.openxmlformats.org/drawingml/2006/main">
            <a:pPr>
              <a:defRPr/>
            </a:pPr>
            <a:r>
              <a:t>Neraca Indonesia = kredit − debit; batang ke kiri = defisit · Top 5 · USD juta · 2024 · Sumber: OECD TIS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OECD TIS'!$G$22:$G$31</f>
            </numRef>
          </cat>
          <val>
            <numRef>
              <f>'Mirror – OECD TIS'!$H$22:$H$31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Wisatawan dari Jerman paling banyak belanja di Indonesia</a:t>
            </a:r>
          </a:p>
          <a:p xmlns:a="http://schemas.openxmlformats.org/drawingml/2006/main">
            <a:pPr>
              <a:defRPr/>
            </a:pPr>
            <a:r>
              <a:t>Kredit Indonesia · Top 5 · USD juta · 2024 · Sumber: Eurostat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Eurostat'!$J$6:$J$10</f>
            </numRef>
          </cat>
          <val>
            <numRef>
              <f>'Mirror – Eurostat'!$K$6:$K$10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Penduduk Indonesia paling banyak belanja di Prancis</a:t>
            </a:r>
          </a:p>
          <a:p xmlns:a="http://schemas.openxmlformats.org/drawingml/2006/main">
            <a:pPr>
              <a:defRPr/>
            </a:pPr>
            <a:r>
              <a:t>Debit Indonesia · Top 5 · USD juta · 2024 · Sumber: Eurostat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Eurostat'!$J$14:$J$18</f>
            </numRef>
          </cat>
          <val>
            <numRef>
              <f>'Mirror – Eurostat'!$K$14:$K$18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Surplus terbesar dengan Jerman, defisit terbesar dengan Bulgaria</a:t>
            </a:r>
          </a:p>
          <a:p xmlns:a="http://schemas.openxmlformats.org/drawingml/2006/main">
            <a:pPr>
              <a:defRPr/>
            </a:pPr>
            <a:r>
              <a:t>Neraca Indonesia = kredit − debit; batang ke kiri = defisit · Top 5 · USD juta · 2024 · Sumber: Eurostat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Eurostat'!$J$22:$J$31</f>
            </numRef>
          </cat>
          <val>
            <numRef>
              <f>'Mirror – Eurostat'!$K$22:$K$31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Indonesia selalu surplus dengan Australia, kecuali 2020, 2021 (pandemi)</a:t>
            </a:r>
          </a:p>
          <a:p xmlns:a="http://schemas.openxmlformats.org/drawingml/2006/main">
            <a:pPr>
              <a:defRPr/>
            </a:pPr>
            <a:r>
              <a:t>Neraca Indonesia, USD juta · Sumber: ABS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ABS'!$A$12:$A$27</f>
            </numRef>
          </cat>
          <val>
            <numRef>
              <f>'Mirror – ABS'!$G$12:$G$27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Wisatawan dari Australia paling banyak belanja di Indonesia</a:t>
            </a:r>
          </a:p>
          <a:p xmlns:a="http://schemas.openxmlformats.org/drawingml/2006/main">
            <a:pPr>
              <a:defRPr/>
            </a:pPr>
            <a:r>
              <a:t>Kredit Indonesia · Top 5 · USD juta · 2024 · Sumber: BaTIS, nilai seimbang (B)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'BaTIS Data'!$L$6:$L$10</f>
            </numRef>
          </cat>
          <val>
            <numRef>
              <f>'BaTIS Data'!$M$6:$M$10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Penduduk Indonesia paling banyak belanja di Malaysia</a:t>
            </a:r>
          </a:p>
          <a:p xmlns:a="http://schemas.openxmlformats.org/drawingml/2006/main">
            <a:pPr>
              <a:defRPr/>
            </a:pPr>
            <a:r>
              <a:t>Debit Indonesia · Top 5 · USD juta · 2024 · Sumber: BaTIS, nilai seimbang (B)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'BaTIS Data'!$L$14:$L$18</f>
            </numRef>
          </cat>
          <val>
            <numRef>
              <f>'BaTIS Data'!$M$14:$M$18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Surplus terbesar dengan Australia, defisit terbesar dengan Malaysia</a:t>
            </a:r>
          </a:p>
          <a:p xmlns:a="http://schemas.openxmlformats.org/drawingml/2006/main">
            <a:pPr>
              <a:defRPr/>
            </a:pPr>
            <a:r>
              <a:t>Neraca Indonesia = kredit − debit; batang ke kiri = defisit · Top 5 · USD juta · 2024 · Sumber: BaTIS, nilai seimbang (B)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'BaTIS Data'!$L$22:$L$31</f>
            </numRef>
          </cat>
          <val>
            <numRef>
              <f>'BaTIS Data'!$M$22:$M$31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Penduduk Indonesia paling banyak belanja di Malaysia</a:t>
            </a:r>
          </a:p>
          <a:p xmlns:a="http://schemas.openxmlformats.org/drawingml/2006/main">
            <a:pPr>
              <a:defRPr/>
            </a:pPr>
            <a:r>
              <a:t>Debit Indonesia · Top 5 · USD juta · 2024 · Sumber: negara tujuan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'Data Negara Tujuan'!$A$14:$A$18</f>
            </numRef>
          </cat>
          <val>
            <numRef>
              <f>'Data Negara Tujuan'!$B$14:$B$18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39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33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33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14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33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2.kemenparekraf.go.id/storage/app/resources/PES%202014rev.pdf" TargetMode="External" Id="rId1"/><Relationship Type="http://schemas.openxmlformats.org/officeDocument/2006/relationships/hyperlink" Target="https://www.bps.go.id/id/statistics-table/2/MjcyIzI=/rata-rata-pengeluaran-wisatawan-mancanegara-per-kunjungan-menurut-negara-tempat-tinggal.html" TargetMode="External" Id="rId2"/><Relationship Type="http://schemas.openxmlformats.org/officeDocument/2006/relationships/hyperlink" Target="https://www.bps.go.id/id/publication/2026/04/30/7344d8c9b1935d342f2ff9e7/statistik-wisatawan-nasional-2025.html" TargetMode="External" Id="rId3"/><Relationship Type="http://schemas.openxmlformats.org/officeDocument/2006/relationships/drawing" Target="/xl/drawings/drawing1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ps.go.id/id/statistics-table/2/MjcyIzI=/rata-rata-pengeluaran-wisatawan-mancanegara-per-kunjungan-menurut-negara-tempat-tinggal.html" TargetMode="External" Id="rId1"/><Relationship Type="http://schemas.openxmlformats.org/officeDocument/2006/relationships/hyperlink" Target="https://www.bps.go.id/id/publication/2026/04/30/7344d8c9b1935d342f2ff9e7/statistik-wisatawan-nasional-2025.html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sdmx.oecd.org/public/rest/data/OECD.SDD.TPS,DSD_BOP@DF_TIS,1.0/.IDN.SD...A.USD_EXC.?startPeriod=2019&amp;format=csvfilewithlabels" TargetMode="External" Id="rId1"/><Relationship Type="http://schemas.openxmlformats.org/officeDocument/2006/relationships/drawing" Target="/xl/drawings/drawing2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ec.europa.eu/eurostat/databrowser/view/bop_its6_det/default/table?lang=en" TargetMode="External" Id="rId1"/><Relationship Type="http://schemas.openxmlformats.org/officeDocument/2006/relationships/drawing" Target="/xl/drawings/drawing3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bs.gov.au/statistics/economy/international-trade/international-trade-supplementary-information-calendar-year/2025/536805500408.xlsx" TargetMode="External" Id="rId1"/><Relationship Type="http://schemas.openxmlformats.org/officeDocument/2006/relationships/hyperlink" Target="https://www.abs.gov.au/statistics/economy/international-trade/international-trade-supplementary-information-calendar-year/2025/536805500407.xlsx" TargetMode="External" Id="rId2"/><Relationship Type="http://schemas.openxmlformats.org/officeDocument/2006/relationships/drawing" Target="/xl/drawings/drawing4.xm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sdmx.oecd.org/public/rest/data/OECD.SDD.TPS,DSD_BATIS@DF_BATIS,1.0/IDN..X+M.S.SD.A.USD_EXC.B?startPeriod=2019&amp;format=csvfilewithlabels" TargetMode="External" Id="rId1"/><Relationship Type="http://schemas.openxmlformats.org/officeDocument/2006/relationships/drawing" Target="/xl/drawings/drawing5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wto.org/english/res_e/statis_e/daily_update_e/OECD-WTO_Batis_methodology_BPM6.pdf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data.tourism.gov.my/frontend/pdf/Malaysia_Tourist_Profile_2024%20v2.pdf" TargetMode="External" Id="rId1"/><Relationship Type="http://schemas.openxmlformats.org/officeDocument/2006/relationships/hyperlink" Target="https://www.stb.gov.sg/about-stb/media-publications/media-centre/record-singapore-tourism-receipts-from-january-to-september-2025/" TargetMode="External" Id="rId2"/><Relationship Type="http://schemas.openxmlformats.org/officeDocument/2006/relationships/hyperlink" Target="https://berkas.dpr.go.id/akd/dokumen/komisi8-14-9c99c60e776a2177daf06668e4910509.pdf" TargetMode="External" Id="rId3"/><Relationship Type="http://schemas.openxmlformats.org/officeDocument/2006/relationships/hyperlink" Target="https://www.mots.go.th/" TargetMode="External" Id="rId4"/><Relationship Type="http://schemas.openxmlformats.org/officeDocument/2006/relationships/hyperlink" Target="https://www.mlit.go.jp/kankocho/" TargetMode="External" Id="rId5"/><Relationship Type="http://schemas.openxmlformats.org/officeDocument/2006/relationships/drawing" Target="/xl/drawings/drawing6.xml" Id="rId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bi.go.id/SEKI/tabel/TABEL5_3.xls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sdmx.oecd.org/public/rest/data/OECD.SDD.TPS,DSD_BOP@DF_TIS,1.0/.IDN.SD...A.USD_EXC.?startPeriod=2019&amp;format=csvfilewithlabels" TargetMode="External" Id="rId1"/><Relationship Type="http://schemas.openxmlformats.org/officeDocument/2006/relationships/hyperlink" Target="https://ec.europa.eu/eurostat/api/dissemination/sdmx/2.1/data/bop_its6_det/A.MIO_EUR.SD.CRE+DEB+BAL.ID.EU27_2020?format=SDMX-CSV&amp;startPeriod=2018" TargetMode="External" Id="rId2"/><Relationship Type="http://schemas.openxmlformats.org/officeDocument/2006/relationships/hyperlink" Target="https://www.abs.gov.au/statistics/economy/international-trade/international-trade-supplementary-information-calendar-year/latest-release" TargetMode="External" Id="rId3"/><Relationship Type="http://schemas.openxmlformats.org/officeDocument/2006/relationships/hyperlink" Target="https://sdmx.oecd.org/public/rest/data/OECD.SDD.TPS,DSD_BATIS@DF_BATIS,1.0/IDN..X+M.S.SD.A.USD_EXC.B?startPeriod=2019&amp;format=csvfilewithlabels" TargetMode="External" Id="rId4"/><Relationship Type="http://schemas.openxmlformats.org/officeDocument/2006/relationships/hyperlink" Target="https://www.bi.go.id/SEKI/tabel/TABEL5_3.xls" TargetMode="External" Id="rId5"/><Relationship Type="http://schemas.openxmlformats.org/officeDocument/2006/relationships/hyperlink" Target="https://www.bps.go.id/id/statistics-table/2/MjcyIzI=/rata-rata-pengeluaran-wisatawan-mancanegara-per-kunjungan-menurut-negara-tempat-tinggal.html" TargetMode="External" Id="rId6"/><Relationship Type="http://schemas.openxmlformats.org/officeDocument/2006/relationships/hyperlink" Target="https://www.bps.go.id/id/statistics-table/2/MTQ3MCMy/jumlah-kunjungan-wisatawan-mancanegara-per-bulan-menurut-paspor-yang-dipegang.html" TargetMode="External" Id="rId7"/><Relationship Type="http://schemas.openxmlformats.org/officeDocument/2006/relationships/hyperlink" Target="https://www.bps.go.id/id/publication/2026/04/30/7344d8c9b1935d342f2ff9e7/statistik-wisatawan-nasional-2025.html" TargetMode="External" Id="rId8"/><Relationship Type="http://schemas.openxmlformats.org/officeDocument/2006/relationships/hyperlink" Target="https://data.tourism.gov.my/frontend/pdf/Malaysia_Tourist_Profile_2024%20v2.pdf" TargetMode="External" Id="rId9"/><Relationship Type="http://schemas.openxmlformats.org/officeDocument/2006/relationships/hyperlink" Target="https://www.stb.gov.sg/about-stb/media-publications/media-centre/record-singapore-tourism-receipts-from-january-to-september-2025/" TargetMode="External" Id="rId10"/><Relationship Type="http://schemas.openxmlformats.org/officeDocument/2006/relationships/hyperlink" Target="https://www.mlit.go.jp/kankocho/" TargetMode="External" Id="rId11"/><Relationship Type="http://schemas.openxmlformats.org/officeDocument/2006/relationships/hyperlink" Target="https://www.mots.go.th/" TargetMode="External" Id="rId12"/><Relationship Type="http://schemas.openxmlformats.org/officeDocument/2006/relationships/hyperlink" Target="https://berkas.dpr.go.id/akd/dokumen/komisi8-14-9c99c60e776a2177daf06668e4910509.pdf" TargetMode="External" Id="rId13"/><Relationship Type="http://schemas.openxmlformats.org/officeDocument/2006/relationships/hyperlink" Target="https://kemenpar.go.id/statistik-jasa-perjalanan" TargetMode="External" Id="rId14"/><Relationship Type="http://schemas.openxmlformats.org/officeDocument/2006/relationships/hyperlink" Target="https://data.aseanstats.org/sits" TargetMode="External" Id="rId15"/><Relationship Type="http://schemas.openxmlformats.org/officeDocument/2006/relationships/hyperlink" Target="https://api.imf.org/external/sdmx/2.1/dataflow/IMF.STA/BOP/latest?references=datastructure" TargetMode="External" Id="rId16"/><Relationship Type="http://schemas.openxmlformats.org/officeDocument/2006/relationships/hyperlink" Target="https://data.worldbank.org/indicator/ST.INT.RCPT.CD?locations=ID" TargetMode="External" Id="rId17"/><Relationship Type="http://schemas.openxmlformats.org/officeDocument/2006/relationships/hyperlink" Target="https://comtradeapi.un.org/public/v1/preview/S/A/EB?reporterCode=360&amp;period=2022" TargetMode="External" Id="rId18"/><Relationship Type="http://schemas.openxmlformats.org/officeDocument/2006/relationships/hyperlink" Target="https://data.wto.org/en/dataset/tismos" TargetMode="External" Id="rId19"/><Relationship Type="http://schemas.openxmlformats.org/officeDocument/2006/relationships/hyperlink" Target="https://unctadstat.unctad.org/datacentre/" TargetMode="External" Id="rId20"/><Relationship Type="http://schemas.openxmlformats.org/officeDocument/2006/relationships/hyperlink" Target="https://www.bi.go.id/SEKI/tabel/TABEL5_29.pdf" TargetMode="External" Id="rId21"/><Relationship Type="http://schemas.openxmlformats.org/officeDocument/2006/relationships/hyperlink" Target="https://www.bi.go.id/id/publikasi/laporan/Documents/NPI_Tw_I_2024.pdf" TargetMode="External" Id="rId22"/><Relationship Type="http://schemas.openxmlformats.org/officeDocument/2006/relationships/hyperlink" Target="https://catalog.ihsn.org/index.php/catalog/search?sk=susenas&amp;country=IDN" TargetMode="External" Id="rId23"/><Relationship Type="http://schemas.openxmlformats.org/officeDocument/2006/relationships/hyperlink" Target="https://catalog.ihsn.org/index.php/catalog/search?sk=sakernas&amp;country=IDN" TargetMode="External" Id="rId24"/><Relationship Type="http://schemas.openxmlformats.org/officeDocument/2006/relationships/hyperlink" Target="https://catalog.ihsn.org/index.php/catalog/search?sk=podes&amp;country=IDN" TargetMode="External" Id="rId25"/><Relationship Type="http://schemas.openxmlformats.org/officeDocument/2006/relationships/hyperlink" Target="https://www.bps.go.id/id/publication/2026/09/01/27b61f56c20226ca8ecfd974/tourism-satellite-account-indonesia-2023-2025.html" TargetMode="External" Id="rId26"/><Relationship Type="http://schemas.openxmlformats.org/officeDocument/2006/relationships/hyperlink" Target="https://ecos.bok.or.kr/" TargetMode="External" Id="rId27"/><Relationship Type="http://schemas.openxmlformats.org/officeDocument/2006/relationships/hyperlink" Target="https://data.worldbank.org/indicator/PA.NUS.FCRF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46" customWidth="1" min="5" max="5"/>
    <col width="20" customWidth="1" min="7" max="7"/>
    <col width="10" customWidth="1" min="8" max="8"/>
  </cols>
  <sheetData>
    <row r="1">
      <c r="A1" s="1" t="inlineStr">
        <is>
          <t>Neraca jasa perjalanan Indonesia per negara, 2024 (USD juta) — sumber utama: BPS</t>
        </is>
      </c>
    </row>
    <row r="2">
      <c r="A2" s="2" t="inlineStr">
        <is>
          <t>Kredit = belanja wisatawan mancanegara di Indonesia (ekspor jasa). Debit = belanja penduduk Indonesia di luar negeri (impor jasa). Neraca = kredit − debit; angka dalam kurung = defisit.</t>
        </is>
      </c>
    </row>
    <row r="3">
      <c r="A3" s="3" t="inlineStr">
        <is>
          <t>Label abu-abu di bawah judul kolom → GIVEN: diambil apa adanya dari sumber · DIHITUNG SENDIRI: kami hitung, caranya tertulis · ASUMSI SENDIRI: pilihan kami karena sumber tidak menyediakan angkanya.</t>
        </is>
      </c>
    </row>
    <row r="4">
      <c r="A4" s="4" t="inlineStr">
        <is>
          <t>Kenapa BPS yang dipakai, bukan dicampur:</t>
        </is>
      </c>
    </row>
    <row r="5">
      <c r="A5" s="2" t="inlineStr">
        <is>
          <t>1. Data observasi, bukan model: jumlah kunjungan/perjalanan (Imigrasi, data seluler) × survei pengeluaran (Passenger Exit Survey dan Survei Digital Wisnas).</t>
        </is>
      </c>
    </row>
    <row r="6">
      <c r="A6" s="2" t="inlineStr">
        <is>
          <t>2. Kredit dan debit dari satu lembaga dengan satu metode, mencakup pasar utama kedua arah. Mirror hanya ada untuk 33 negara pelapor (tanpa ASEAN, Tiongkok, Arab Saudi); BaTIS hasil model (debit ke Arab Saudi cuma USD 114 juta).</t>
        </is>
      </c>
    </row>
    <row r="7">
      <c r="A7" s="2" t="inlineStr">
        <is>
          <t>3. Bahan yang sama dengan neraca perjalanan BI (PES). Catatan level: total BPS 116% (kredit) dan 122% (debit) dari angka BI, jadi pakai untuk urutan &amp; porsi negara.</t>
        </is>
      </c>
    </row>
    <row r="8">
      <c r="A8" s="5" t="inlineStr">
        <is>
          <t>PES: survei untuk menghitung neraca perjalanan (Kemenparekraf)</t>
        </is>
      </c>
    </row>
    <row r="10" ht="48" customHeight="1">
      <c r="A10" s="6" t="inlineStr">
        <is>
          <t>Negara</t>
        </is>
      </c>
      <c r="B10" s="6" t="inlineStr">
        <is>
          <t>Kredit Indonesia
(belanja warga negara ini di Indonesia)</t>
        </is>
      </c>
      <c r="C10" s="6" t="inlineStr">
        <is>
          <t>Debit Indonesia
(belanja penduduk Indonesia di negara ini)</t>
        </is>
      </c>
      <c r="D10" s="6" t="inlineStr">
        <is>
          <t>Neraca Indonesia
(kredit − debit)</t>
        </is>
      </c>
      <c r="E10" s="6" t="inlineStr">
        <is>
          <t>Catatan</t>
        </is>
      </c>
      <c r="G10" s="4" t="inlineStr">
        <is>
          <t>Data grafik: Top 5, 2024, USD juta (salinan dari tabel utama)</t>
        </is>
      </c>
    </row>
    <row r="11" ht="18" customHeight="1">
      <c r="A11" s="7" t="n"/>
      <c r="B11" s="7" t="inlineStr">
        <is>
          <t>DIHITUNG SENDIRI: kunjungan × pengeluaran per kunjungan (input GIVEN BPS)</t>
        </is>
      </c>
      <c r="C11" s="7" t="inlineStr">
        <is>
          <t>DIHITUNG SENDIRI: perjalanan × pangsa tujuan × pengeluaran per perjalanan (input GIVEN BPS)</t>
        </is>
      </c>
      <c r="D11" s="7" t="inlineStr">
        <is>
          <t>DIHITUNG SENDIRI: kredit − debit</t>
        </is>
      </c>
      <c r="E11" s="7" t="inlineStr">
        <is>
          <t>Catatan kami</t>
        </is>
      </c>
      <c r="G11" s="6" t="inlineStr">
        <is>
          <t>Negara</t>
        </is>
      </c>
      <c r="H11" s="6" t="inlineStr">
        <is>
          <t>Kredit</t>
        </is>
      </c>
    </row>
    <row r="12">
      <c r="A12" s="8" t="inlineStr">
        <is>
          <t>Australia</t>
        </is>
      </c>
      <c r="B12" s="9" t="n">
        <v>2862.38983646</v>
      </c>
      <c r="C12" s="9" t="n">
        <v>729.552824964648</v>
      </c>
      <c r="D12" s="9" t="n">
        <v>2132.837011495352</v>
      </c>
      <c r="E12" s="8" t="inlineStr"/>
      <c r="G12" s="8" t="inlineStr">
        <is>
          <t>Australia</t>
        </is>
      </c>
      <c r="H12" s="10" t="n">
        <v>2862.38983646</v>
      </c>
    </row>
    <row r="13">
      <c r="A13" s="8" t="inlineStr">
        <is>
          <t>India</t>
        </is>
      </c>
      <c r="B13" s="9" t="n">
        <v>815.3105339299999</v>
      </c>
      <c r="C13" s="9" t="n">
        <v>22.250175657536</v>
      </c>
      <c r="D13" s="9" t="n">
        <v>793.0603582724639</v>
      </c>
      <c r="E13" s="8" t="inlineStr">
        <is>
          <t>Debit memakai rata-rata belanja kelompok 'asia lainnya'</t>
        </is>
      </c>
      <c r="G13" s="8" t="inlineStr">
        <is>
          <t>Malaysia</t>
        </is>
      </c>
      <c r="H13" s="10" t="n">
        <v>1573.65424692</v>
      </c>
    </row>
    <row r="14">
      <c r="A14" s="8" t="inlineStr">
        <is>
          <t>Inggris</t>
        </is>
      </c>
      <c r="B14" s="9" t="n">
        <v>765.46354608</v>
      </c>
      <c r="C14" s="9" t="n">
        <v>213.4244288509</v>
      </c>
      <c r="D14" s="9" t="n">
        <v>552.0391172290999</v>
      </c>
      <c r="E14" s="8" t="inlineStr">
        <is>
          <t>Debit memakai rata-rata belanja kelompok 'eropa'</t>
        </is>
      </c>
      <c r="G14" s="8" t="inlineStr">
        <is>
          <t>Tiongkok</t>
        </is>
      </c>
      <c r="H14" s="10" t="n">
        <v>1422.69434268</v>
      </c>
    </row>
    <row r="15">
      <c r="A15" s="8" t="inlineStr">
        <is>
          <t>Tiongkok</t>
        </is>
      </c>
      <c r="B15" s="9" t="n">
        <v>1422.69434268</v>
      </c>
      <c r="C15" s="9" t="n">
        <v>931.7571510345</v>
      </c>
      <c r="D15" s="9" t="n">
        <v>490.9371916455001</v>
      </c>
      <c r="E15" s="8" t="inlineStr"/>
      <c r="G15" s="8" t="inlineStr">
        <is>
          <t>Singapura</t>
        </is>
      </c>
      <c r="H15" s="10" t="n">
        <v>994.5153416200001</v>
      </c>
    </row>
    <row r="16">
      <c r="A16" s="8" t="inlineStr">
        <is>
          <t>Prancis</t>
        </is>
      </c>
      <c r="B16" s="9" t="n">
        <v>659.9675087200001</v>
      </c>
      <c r="C16" s="9" t="n">
        <v>170.73954308072</v>
      </c>
      <c r="D16" s="9" t="n">
        <v>489.2279656392801</v>
      </c>
      <c r="E16" s="8" t="inlineStr">
        <is>
          <t>Debit memakai rata-rata belanja kelompok 'eropa'</t>
        </is>
      </c>
      <c r="G16" s="8" t="inlineStr">
        <is>
          <t>Amerika Serikat</t>
        </is>
      </c>
      <c r="H16" s="10" t="n">
        <v>908.11380114</v>
      </c>
    </row>
    <row r="17">
      <c r="A17" s="8" t="inlineStr">
        <is>
          <t>Amerika Serikat</t>
        </is>
      </c>
      <c r="B17" s="9" t="n">
        <v>908.11380114</v>
      </c>
      <c r="C17" s="9" t="n">
        <v>459.404755899996</v>
      </c>
      <c r="D17" s="9" t="n">
        <v>448.7090452400039</v>
      </c>
      <c r="E17" s="8" t="inlineStr"/>
    </row>
    <row r="18">
      <c r="A18" s="8" t="inlineStr">
        <is>
          <t>Jerman</t>
        </is>
      </c>
      <c r="B18" s="9" t="n">
        <v>572.8798237799999</v>
      </c>
      <c r="C18" s="9" t="n">
        <v>145.128611618612</v>
      </c>
      <c r="D18" s="9" t="n">
        <v>427.7512121613879</v>
      </c>
      <c r="E18" s="8" t="inlineStr">
        <is>
          <t>Debit memakai rata-rata belanja kelompok 'eropa'</t>
        </is>
      </c>
    </row>
    <row r="19" ht="18" customHeight="1">
      <c r="A19" s="8" t="inlineStr">
        <is>
          <t>Belanda</t>
        </is>
      </c>
      <c r="B19" s="9" t="n">
        <v>597.7687475</v>
      </c>
      <c r="C19" s="9" t="n">
        <v>170.73954308072</v>
      </c>
      <c r="D19" s="9" t="n">
        <v>427.02920441928</v>
      </c>
      <c r="E19" s="8" t="inlineStr">
        <is>
          <t>Debit memakai rata-rata belanja kelompok 'eropa'</t>
        </is>
      </c>
      <c r="G19" s="6" t="inlineStr">
        <is>
          <t>Negara</t>
        </is>
      </c>
      <c r="H19" s="6" t="inlineStr">
        <is>
          <t>Debit</t>
        </is>
      </c>
    </row>
    <row r="20">
      <c r="A20" s="8" t="inlineStr">
        <is>
          <t>Rusia</t>
        </is>
      </c>
      <c r="B20" s="9" t="n">
        <v>380.75723125</v>
      </c>
      <c r="C20" s="9" t="n">
        <v>59.75884007825201</v>
      </c>
      <c r="D20" s="9" t="n">
        <v>320.998391171748</v>
      </c>
      <c r="E20" s="8" t="inlineStr">
        <is>
          <t>Debit memakai rata-rata belanja kelompok 'eropa'</t>
        </is>
      </c>
      <c r="G20" s="8" t="inlineStr">
        <is>
          <t>Arab Saudi</t>
        </is>
      </c>
      <c r="H20" s="10" t="n">
        <v>3648.463692539687</v>
      </c>
    </row>
    <row r="21">
      <c r="A21" s="8" t="inlineStr">
        <is>
          <t>Selandia Baru</t>
        </is>
      </c>
      <c r="B21" s="9" t="n">
        <v>276.98963515</v>
      </c>
      <c r="C21" s="9" t="n">
        <v>46.14971068256001</v>
      </c>
      <c r="D21" s="9" t="n">
        <v>230.83992446744</v>
      </c>
      <c r="E21" s="8" t="inlineStr">
        <is>
          <t>Debit memakai rata-rata belanja kelompok 'lainnya'</t>
        </is>
      </c>
      <c r="G21" s="8" t="inlineStr">
        <is>
          <t>Malaysia</t>
        </is>
      </c>
      <c r="H21" s="10" t="n">
        <v>2898.444280035374</v>
      </c>
    </row>
    <row r="22">
      <c r="A22" s="8" t="inlineStr">
        <is>
          <t>Korea Selatan</t>
        </is>
      </c>
      <c r="B22" s="9" t="n">
        <v>603.22808925</v>
      </c>
      <c r="C22" s="9" t="n">
        <v>386.25430088178</v>
      </c>
      <c r="D22" s="9" t="n">
        <v>216.97378836822</v>
      </c>
      <c r="E22" s="8" t="inlineStr"/>
      <c r="G22" s="8" t="inlineStr">
        <is>
          <t>Singapura</t>
        </is>
      </c>
      <c r="H22" s="10" t="n">
        <v>1626.424404217704</v>
      </c>
    </row>
    <row r="23">
      <c r="A23" s="8" t="inlineStr">
        <is>
          <t>Kanada</t>
        </is>
      </c>
      <c r="B23" s="9" t="n">
        <v>167.26127087</v>
      </c>
      <c r="C23" s="9" t="n">
        <v>43.2653537649</v>
      </c>
      <c r="D23" s="9" t="n">
        <v>123.9959171051</v>
      </c>
      <c r="E23" s="8" t="inlineStr">
        <is>
          <t>Debit memakai rata-rata belanja kelompok 'lainnya'</t>
        </is>
      </c>
      <c r="G23" s="8" t="inlineStr">
        <is>
          <t>Tiongkok</t>
        </is>
      </c>
      <c r="H23" s="10" t="n">
        <v>931.7571510345</v>
      </c>
    </row>
    <row r="24">
      <c r="A24" s="8" t="inlineStr">
        <is>
          <t>Filipina</t>
        </is>
      </c>
      <c r="B24" s="9" t="n">
        <v>239.6616525</v>
      </c>
      <c r="C24" s="9" t="n">
        <v>148.097104187048</v>
      </c>
      <c r="D24" s="9" t="n">
        <v>91.56454831295201</v>
      </c>
      <c r="E24" s="8" t="inlineStr">
        <is>
          <t>Debit memakai rata-rata belanja kelompok 'asean lainnya'</t>
        </is>
      </c>
      <c r="G24" s="8" t="inlineStr">
        <is>
          <t>Jepang</t>
        </is>
      </c>
      <c r="H24" s="10" t="n">
        <v>858.6940883000761</v>
      </c>
    </row>
    <row r="25">
      <c r="A25" s="8" t="inlineStr">
        <is>
          <t>Brunei Darussalam</t>
        </is>
      </c>
      <c r="B25" s="9" t="n">
        <v>21.0967339</v>
      </c>
      <c r="C25" s="9" t="n">
        <v>30.792467207208</v>
      </c>
      <c r="D25" s="9" t="n">
        <v>-9.695733307207998</v>
      </c>
      <c r="E25" s="8" t="inlineStr">
        <is>
          <t>Debit memakai rata-rata belanja kelompok 'asean lainnya'</t>
        </is>
      </c>
    </row>
    <row r="26">
      <c r="A26" s="8" t="inlineStr">
        <is>
          <t>Mesir</t>
        </is>
      </c>
      <c r="B26" s="9" t="n">
        <v>30.28327965</v>
      </c>
      <c r="C26" s="9" t="n">
        <v>50.93928738252</v>
      </c>
      <c r="D26" s="9" t="n">
        <v>-20.65600773252</v>
      </c>
      <c r="E26" s="8" t="inlineStr">
        <is>
          <t>Debit memakai rata-rata belanja kelompok 'timur tengah lainnya'</t>
        </is>
      </c>
    </row>
    <row r="27" ht="18" customHeight="1">
      <c r="A27" s="8" t="inlineStr">
        <is>
          <t>Jepang</t>
        </is>
      </c>
      <c r="B27" s="9" t="n">
        <v>458.219912</v>
      </c>
      <c r="C27" s="9" t="n">
        <v>858.6940883000761</v>
      </c>
      <c r="D27" s="9" t="n">
        <v>-400.4741763000761</v>
      </c>
      <c r="E27" s="8" t="inlineStr"/>
      <c r="G27" s="6" t="inlineStr">
        <is>
          <t>Negara</t>
        </is>
      </c>
      <c r="H27" s="6" t="inlineStr">
        <is>
          <t>Neraca</t>
        </is>
      </c>
    </row>
    <row r="28">
      <c r="A28" s="8" t="inlineStr">
        <is>
          <t>Thailand</t>
        </is>
      </c>
      <c r="B28" s="9" t="n">
        <v>130.88101855</v>
      </c>
      <c r="C28" s="9" t="n">
        <v>638.0703532532559</v>
      </c>
      <c r="D28" s="9" t="n">
        <v>-507.1893347032559</v>
      </c>
      <c r="E28" s="8" t="inlineStr"/>
      <c r="G28" s="8" t="inlineStr">
        <is>
          <t>Australia</t>
        </is>
      </c>
      <c r="H28" s="10" t="n">
        <v>2132.837011495352</v>
      </c>
    </row>
    <row r="29">
      <c r="A29" s="8" t="inlineStr">
        <is>
          <t>Singapura</t>
        </is>
      </c>
      <c r="B29" s="9" t="n">
        <v>994.5153416200001</v>
      </c>
      <c r="C29" s="9" t="n">
        <v>1626.424404217704</v>
      </c>
      <c r="D29" s="9" t="n">
        <v>-631.909062597704</v>
      </c>
      <c r="E29" s="8" t="inlineStr"/>
      <c r="G29" s="8" t="inlineStr">
        <is>
          <t>India</t>
        </is>
      </c>
      <c r="H29" s="10" t="n">
        <v>793.0603582724639</v>
      </c>
    </row>
    <row r="30">
      <c r="A30" s="8" t="inlineStr">
        <is>
          <t>Malaysia</t>
        </is>
      </c>
      <c r="B30" s="9" t="n">
        <v>1573.65424692</v>
      </c>
      <c r="C30" s="9" t="n">
        <v>2898.444280035374</v>
      </c>
      <c r="D30" s="9" t="n">
        <v>-1324.790033115374</v>
      </c>
      <c r="E30" s="8" t="inlineStr"/>
      <c r="G30" s="8" t="inlineStr">
        <is>
          <t>Inggris</t>
        </is>
      </c>
      <c r="H30" s="10" t="n">
        <v>552.0391172290999</v>
      </c>
    </row>
    <row r="31">
      <c r="A31" s="8" t="inlineStr">
        <is>
          <t>Arab Saudi</t>
        </is>
      </c>
      <c r="B31" s="9" t="n">
        <v>263.6547108</v>
      </c>
      <c r="C31" s="9" t="n">
        <v>3648.463692539687</v>
      </c>
      <c r="D31" s="9" t="n">
        <v>-3384.808981739687</v>
      </c>
      <c r="E31" s="8" t="inlineStr"/>
      <c r="G31" s="8" t="inlineStr">
        <is>
          <t>Tiongkok</t>
        </is>
      </c>
      <c r="H31" s="10" t="n">
        <v>490.9371916455001</v>
      </c>
    </row>
    <row r="32">
      <c r="A32" s="8" t="inlineStr">
        <is>
          <t>Belgia</t>
        </is>
      </c>
      <c r="B32" s="9" t="n">
        <v>113.5200474</v>
      </c>
      <c r="C32" s="9" t="n"/>
      <c r="D32" s="9" t="n"/>
      <c r="E32" s="8" t="inlineStr">
        <is>
          <t>Debit tidak dirinci BPS (masuk tujuan 'lainnya')</t>
        </is>
      </c>
      <c r="G32" s="8" t="inlineStr">
        <is>
          <t>Prancis</t>
        </is>
      </c>
      <c r="H32" s="10" t="n">
        <v>489.2279656392801</v>
      </c>
    </row>
    <row r="33">
      <c r="A33" s="8" t="inlineStr">
        <is>
          <t>Denmark</t>
        </is>
      </c>
      <c r="B33" s="9" t="n">
        <v>76.19013917999999</v>
      </c>
      <c r="C33" s="9" t="n"/>
      <c r="D33" s="9" t="n"/>
      <c r="E33" s="8" t="inlineStr">
        <is>
          <t>Debit tidak dirinci BPS (masuk tujuan 'lainnya')</t>
        </is>
      </c>
      <c r="G33" s="8" t="inlineStr">
        <is>
          <t>Jepang</t>
        </is>
      </c>
      <c r="H33" s="10" t="n">
        <v>-400.4741763000761</v>
      </c>
    </row>
    <row r="34">
      <c r="A34" s="8" t="inlineStr">
        <is>
          <t>Swiss</t>
        </is>
      </c>
      <c r="B34" s="9" t="n">
        <v>127.5531768</v>
      </c>
      <c r="C34" s="9" t="n"/>
      <c r="D34" s="9" t="n"/>
      <c r="E34" s="8" t="inlineStr">
        <is>
          <t>Debit tidak dirinci BPS (masuk tujuan 'lainnya')</t>
        </is>
      </c>
      <c r="G34" s="8" t="inlineStr">
        <is>
          <t>Thailand</t>
        </is>
      </c>
      <c r="H34" s="10" t="n">
        <v>-507.1893347032559</v>
      </c>
    </row>
    <row r="35">
      <c r="A35" s="8" t="inlineStr">
        <is>
          <t>Brasil</t>
        </is>
      </c>
      <c r="B35" s="9" t="n"/>
      <c r="C35" s="9" t="n">
        <v>14.4217845883</v>
      </c>
      <c r="D35" s="9" t="n"/>
      <c r="E35" s="8" t="inlineStr">
        <is>
          <t>Kredit tidak dirinci BPS (masuk 'negara lainnya')</t>
        </is>
      </c>
      <c r="G35" s="8" t="inlineStr">
        <is>
          <t>Singapura</t>
        </is>
      </c>
      <c r="H35" s="10" t="n">
        <v>-631.909062597704</v>
      </c>
    </row>
    <row r="36">
      <c r="A36" s="8" t="inlineStr">
        <is>
          <t>Bangladesh</t>
        </is>
      </c>
      <c r="B36" s="9" t="n">
        <v>15.67678182</v>
      </c>
      <c r="C36" s="9" t="n"/>
      <c r="D36" s="9" t="n"/>
      <c r="E36" s="8" t="inlineStr">
        <is>
          <t>Debit tidak dirinci BPS (masuk tujuan 'lainnya')</t>
        </is>
      </c>
      <c r="G36" s="8" t="inlineStr">
        <is>
          <t>Malaysia</t>
        </is>
      </c>
      <c r="H36" s="10" t="n">
        <v>-1324.790033115374</v>
      </c>
    </row>
    <row r="37">
      <c r="A37" s="8" t="inlineStr">
        <is>
          <t>Uni Emirat Arab</t>
        </is>
      </c>
      <c r="B37" s="9" t="n"/>
      <c r="C37" s="9" t="n">
        <v>263.18631814302</v>
      </c>
      <c r="D37" s="9" t="n"/>
      <c r="E37" s="8" t="inlineStr">
        <is>
          <t>Kredit tidak dirinci BPS (masuk 'negara lainnya')</t>
        </is>
      </c>
      <c r="G37" s="8" t="inlineStr">
        <is>
          <t>Arab Saudi</t>
        </is>
      </c>
      <c r="H37" s="10" t="n">
        <v>-3384.808981739687</v>
      </c>
    </row>
    <row r="38">
      <c r="A38" s="8" t="inlineStr">
        <is>
          <t>Austria</t>
        </is>
      </c>
      <c r="B38" s="9" t="n">
        <v>83.17942278</v>
      </c>
      <c r="C38" s="9" t="n"/>
      <c r="D38" s="9" t="n"/>
      <c r="E38" s="8" t="inlineStr">
        <is>
          <t>Debit tidak dirinci BPS (masuk tujuan 'lainnya')</t>
        </is>
      </c>
    </row>
    <row r="39">
      <c r="A39" s="8" t="inlineStr">
        <is>
          <t>Italia</t>
        </is>
      </c>
      <c r="B39" s="9" t="n">
        <v>256.30315326</v>
      </c>
      <c r="C39" s="9" t="n"/>
      <c r="D39" s="9" t="n"/>
      <c r="E39" s="8" t="inlineStr">
        <is>
          <t>Debit tidak dirinci BPS (masuk tujuan 'lainnya')</t>
        </is>
      </c>
    </row>
    <row r="40">
      <c r="A40" s="8" t="inlineStr">
        <is>
          <t>Spanyol</t>
        </is>
      </c>
      <c r="B40" s="9" t="n">
        <v>298.21967</v>
      </c>
      <c r="C40" s="9" t="n"/>
      <c r="D40" s="9" t="n"/>
      <c r="E40" s="8" t="inlineStr">
        <is>
          <t>Debit tidak dirinci BPS (masuk tujuan 'lainnya')</t>
        </is>
      </c>
    </row>
    <row r="41">
      <c r="A41" s="8" t="inlineStr">
        <is>
          <t>Norwegia</t>
        </is>
      </c>
      <c r="B41" s="9" t="n">
        <v>43.9908755</v>
      </c>
      <c r="C41" s="9" t="n"/>
      <c r="D41" s="9" t="n"/>
      <c r="E41" s="8" t="inlineStr">
        <is>
          <t>Debit tidak dirinci BPS (masuk tujuan 'lainnya')</t>
        </is>
      </c>
    </row>
    <row r="42">
      <c r="A42" s="8" t="inlineStr">
        <is>
          <t>Myanmar</t>
        </is>
      </c>
      <c r="B42" s="9" t="n"/>
      <c r="C42" s="9" t="n">
        <v>4.398923886744</v>
      </c>
      <c r="D42" s="9" t="n"/>
      <c r="E42" s="8" t="inlineStr">
        <is>
          <t>Kredit tidak dirinci BPS (masuk 'negara lainnya')</t>
        </is>
      </c>
    </row>
    <row r="43">
      <c r="A43" s="8" t="inlineStr">
        <is>
          <t>Sri Lanka</t>
        </is>
      </c>
      <c r="B43" s="9" t="n">
        <v>13.06091322</v>
      </c>
      <c r="C43" s="9" t="n"/>
      <c r="D43" s="9" t="n"/>
      <c r="E43" s="8" t="inlineStr">
        <is>
          <t>Debit tidak dirinci BPS (masuk tujuan 'lainnya')</t>
        </is>
      </c>
    </row>
    <row r="44">
      <c r="A44" s="8" t="inlineStr">
        <is>
          <t>Meksiko</t>
        </is>
      </c>
      <c r="B44" s="9" t="n"/>
      <c r="C44" s="9" t="n">
        <v>11.53742767064</v>
      </c>
      <c r="D44" s="9" t="n"/>
      <c r="E44" s="8" t="inlineStr">
        <is>
          <t>Kredit tidak dirinci BPS (masuk 'negara lainnya')</t>
        </is>
      </c>
    </row>
    <row r="45">
      <c r="A45" s="8" t="inlineStr">
        <is>
          <t>Kuwait</t>
        </is>
      </c>
      <c r="B45" s="9" t="n"/>
      <c r="C45" s="9" t="n">
        <v>8.489881230419998</v>
      </c>
      <c r="D45" s="9" t="n"/>
      <c r="E45" s="8" t="inlineStr">
        <is>
          <t>Kredit tidak dirinci BPS (masuk 'negara lainnya')</t>
        </is>
      </c>
    </row>
    <row r="46">
      <c r="A46" s="8" t="inlineStr">
        <is>
          <t>Finlandia</t>
        </is>
      </c>
      <c r="B46" s="9" t="n">
        <v>28.7172472</v>
      </c>
      <c r="C46" s="9" t="n"/>
      <c r="D46" s="9" t="n"/>
      <c r="E46" s="8" t="inlineStr">
        <is>
          <t>Debit tidak dirinci BPS (masuk tujuan 'lainnya')</t>
        </is>
      </c>
    </row>
    <row r="47">
      <c r="A47" s="8" t="inlineStr">
        <is>
          <t>Hong Kong</t>
        </is>
      </c>
      <c r="B47" s="9" t="n"/>
      <c r="C47" s="9" t="n">
        <v>226.56395892312</v>
      </c>
      <c r="D47" s="9" t="n"/>
      <c r="E47" s="8" t="inlineStr">
        <is>
          <t>Kredit tidak dirinci BPS (masuk 'negara lainnya')</t>
        </is>
      </c>
    </row>
    <row r="48">
      <c r="A48" s="8" t="inlineStr">
        <is>
          <t>Pakistan</t>
        </is>
      </c>
      <c r="B48" s="9" t="n">
        <v>30.43215549</v>
      </c>
      <c r="C48" s="9" t="n"/>
      <c r="D48" s="9" t="n"/>
      <c r="E48" s="8" t="inlineStr">
        <is>
          <t>Debit tidak dirinci BPS (masuk tujuan 'lainnya')</t>
        </is>
      </c>
    </row>
    <row r="49">
      <c r="A49" s="8" t="inlineStr">
        <is>
          <t>Portugal</t>
        </is>
      </c>
      <c r="B49" s="9" t="n">
        <v>74.7281457</v>
      </c>
      <c r="C49" s="9" t="n"/>
      <c r="D49" s="9" t="n"/>
      <c r="E49" s="8" t="inlineStr">
        <is>
          <t>Debit tidak dirinci BPS (masuk tujuan 'lainnya')</t>
        </is>
      </c>
    </row>
    <row r="50">
      <c r="A50" s="8" t="inlineStr">
        <is>
          <t>Papua Nugini</t>
        </is>
      </c>
      <c r="B50" s="9" t="n"/>
      <c r="C50" s="9" t="n">
        <v>43.2653537649</v>
      </c>
      <c r="D50" s="9" t="n"/>
      <c r="E50" s="8" t="inlineStr">
        <is>
          <t>Kredit tidak dirinci BPS (masuk 'negara lainnya')</t>
        </is>
      </c>
    </row>
    <row r="51">
      <c r="A51" s="8" t="inlineStr">
        <is>
          <t>Timor-Leste</t>
        </is>
      </c>
      <c r="B51" s="9" t="n"/>
      <c r="C51" s="9" t="n">
        <v>545.1293036096318</v>
      </c>
      <c r="D51" s="9" t="n"/>
      <c r="E51" s="8" t="inlineStr">
        <is>
          <t>Kredit tidak dirinci BPS (masuk 'negara lainnya')</t>
        </is>
      </c>
    </row>
    <row r="52">
      <c r="A52" s="8" t="inlineStr">
        <is>
          <t>Swedia</t>
        </is>
      </c>
      <c r="B52" s="9" t="n">
        <v>72.48130470000001</v>
      </c>
      <c r="C52" s="9" t="n"/>
      <c r="D52" s="9" t="n"/>
      <c r="E52" s="8" t="inlineStr">
        <is>
          <t>Debit tidak dirinci BPS (masuk tujuan 'lainnya')</t>
        </is>
      </c>
    </row>
    <row r="53">
      <c r="A53" s="8" t="inlineStr">
        <is>
          <t>Taiwan</t>
        </is>
      </c>
      <c r="B53" s="9" t="n"/>
      <c r="C53" s="9" t="n">
        <v>129.329146009428</v>
      </c>
      <c r="D53" s="9" t="n"/>
      <c r="E53" s="8" t="inlineStr">
        <is>
          <t>Kredit tidak dirinci BPS (masuk 'negara lainnya')</t>
        </is>
      </c>
    </row>
    <row r="54">
      <c r="A54" s="8" t="inlineStr">
        <is>
          <t>Vietnam</t>
        </is>
      </c>
      <c r="B54" s="9" t="n"/>
      <c r="C54" s="9" t="n">
        <v>161.792319634608</v>
      </c>
      <c r="D54" s="9" t="n"/>
      <c r="E54" s="8" t="inlineStr">
        <is>
          <t>Kredit tidak dirinci BPS (masuk 'negara lainnya')</t>
        </is>
      </c>
    </row>
    <row r="55">
      <c r="A55" s="8" t="inlineStr">
        <is>
          <t>Yaman</t>
        </is>
      </c>
      <c r="B55" s="9" t="n"/>
      <c r="C55" s="9" t="n">
        <v>0</v>
      </c>
      <c r="D55" s="9" t="n"/>
      <c r="E55" s="8" t="inlineStr">
        <is>
          <t>Kredit tidak dirinci BPS (masuk 'negara lainnya')</t>
        </is>
      </c>
    </row>
    <row r="56">
      <c r="A56" s="8" t="inlineStr">
        <is>
          <t>Afrika Selatan</t>
        </is>
      </c>
      <c r="B56" s="9" t="n"/>
      <c r="C56" s="9" t="n">
        <v>17.30614150596</v>
      </c>
      <c r="D56" s="9" t="n"/>
      <c r="E56" s="8" t="inlineStr">
        <is>
          <t>Kredit tidak dirinci BPS (masuk 'negara lainnya')</t>
        </is>
      </c>
    </row>
    <row r="58">
      <c r="A58" s="5" t="inlineStr">
        <is>
          <t>Sumber kredit: BPS</t>
        </is>
      </c>
      <c r="B58" s="5" t="inlineStr">
        <is>
          <t>Sumber debit: BPS</t>
        </is>
      </c>
    </row>
    <row r="59">
      <c r="A59" s="2" t="inlineStr">
        <is>
          <t>Rincian perhitungan ada di sheet 'BPS – Perhitungan'.</t>
        </is>
      </c>
    </row>
  </sheetData>
  <hyperlinks>
    <hyperlink xmlns:r="http://schemas.openxmlformats.org/officeDocument/2006/relationships" ref="A8" r:id="rId1"/>
    <hyperlink xmlns:r="http://schemas.openxmlformats.org/officeDocument/2006/relationships" ref="A58" r:id="rId2"/>
    <hyperlink xmlns:r="http://schemas.openxmlformats.org/officeDocument/2006/relationships" ref="B58" r:id="rId3"/>
  </hyperlinks>
  <pageMargins left="0.75" right="0.75" top="1" bottom="1" header="0.5" footer="0.5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Apakah Top 5 negara sama di setiap sumber? (2024, USD juta)</t>
        </is>
      </c>
    </row>
    <row r="2">
      <c r="A2" s="2" t="inlineStr">
        <is>
          <t>BPS = sumber utama. Sumber lain hanya pembanding. Angka dalam kurung = nilai, disalin dari sheet masing-masing sumber (status GIVEN/DIHITUNG ada di sheet itu).</t>
        </is>
      </c>
    </row>
    <row r="3">
      <c r="A3" s="3" t="inlineStr">
        <is>
          <t>Label abu-abu di bawah judul kolom → GIVEN: diambil apa adanya dari sumber · DIHITUNG SENDIRI: kami hitung, caranya tertulis · ASUMSI SENDIRI: pilihan kami karena sumber tidak menyediakan angkanya.</t>
        </is>
      </c>
    </row>
    <row r="4">
      <c r="A4" s="11" t="inlineStr">
        <is>
          <t>Legenda</t>
        </is>
      </c>
      <c r="B4" s="12" t="inlineStr">
        <is>
          <t>Nama negara</t>
        </is>
      </c>
      <c r="C4" s="2" t="inlineStr">
        <is>
          <t>← artinya negara ini masuk Top 5 di minimal 3 dari 5 sumber (hasilnya konsisten). Tanpa warna = hanya muncul di 1–2 sumber.</t>
        </is>
      </c>
    </row>
    <row r="6">
      <c r="A6" s="4" t="inlineStr">
        <is>
          <t>Kredit: belanja wisatawan dari negara ini di Indonesia</t>
        </is>
      </c>
    </row>
    <row r="7" ht="30" customHeight="1">
      <c r="A7" s="6" t="inlineStr">
        <is>
          <t>Peringkat</t>
        </is>
      </c>
      <c r="B7" s="6" t="inlineStr">
        <is>
          <t>BPS (utama)</t>
        </is>
      </c>
      <c r="C7" s="6" t="inlineStr">
        <is>
          <t>Mirror OECD TIS</t>
        </is>
      </c>
      <c r="D7" s="6" t="inlineStr">
        <is>
          <t>Mirror Eurostat</t>
        </is>
      </c>
      <c r="E7" s="6" t="inlineStr">
        <is>
          <t>Model BaTIS</t>
        </is>
      </c>
    </row>
    <row r="8">
      <c r="A8" s="13" t="n">
        <v>1</v>
      </c>
      <c r="B8" s="14" t="inlineStr">
        <is>
          <t>Australia (2,862)</t>
        </is>
      </c>
      <c r="C8" s="14" t="inlineStr">
        <is>
          <t>Australia (6,746)</t>
        </is>
      </c>
      <c r="D8" s="15" t="inlineStr">
        <is>
          <t>Jerman (473)</t>
        </is>
      </c>
      <c r="E8" s="14" t="inlineStr">
        <is>
          <t>Australia (3,711)</t>
        </is>
      </c>
    </row>
    <row r="9">
      <c r="A9" s="13" t="n">
        <v>2</v>
      </c>
      <c r="B9" s="15" t="inlineStr">
        <is>
          <t>Malaysia (1,574)</t>
        </is>
      </c>
      <c r="C9" s="14" t="inlineStr">
        <is>
          <t>Amerika Serikat (868)</t>
        </is>
      </c>
      <c r="D9" s="15" t="inlineStr">
        <is>
          <t>Belanda (278)</t>
        </is>
      </c>
      <c r="E9" s="15" t="inlineStr">
        <is>
          <t>Tiongkok (2,675)</t>
        </is>
      </c>
    </row>
    <row r="10">
      <c r="A10" s="13" t="n">
        <v>3</v>
      </c>
      <c r="B10" s="15" t="inlineStr">
        <is>
          <t>Tiongkok (1,423)</t>
        </is>
      </c>
      <c r="C10" s="15" t="inlineStr">
        <is>
          <t>Inggris (398)</t>
        </is>
      </c>
      <c r="D10" s="15" t="inlineStr">
        <is>
          <t>Italia (250)</t>
        </is>
      </c>
      <c r="E10" s="14" t="inlineStr">
        <is>
          <t>Amerika Serikat (1,299)</t>
        </is>
      </c>
    </row>
    <row r="11">
      <c r="A11" s="13" t="n">
        <v>4</v>
      </c>
      <c r="B11" s="15" t="inlineStr">
        <is>
          <t>Singapura (995)</t>
        </is>
      </c>
      <c r="C11" s="15" t="inlineStr">
        <is>
          <t>Jepang (324)</t>
        </is>
      </c>
      <c r="D11" s="15" t="inlineStr">
        <is>
          <t>Prancis (248)</t>
        </is>
      </c>
      <c r="E11" s="15" t="inlineStr">
        <is>
          <t>Singapura (1,115)</t>
        </is>
      </c>
    </row>
    <row r="12">
      <c r="A12" s="13" t="n">
        <v>5</v>
      </c>
      <c r="B12" s="14" t="inlineStr">
        <is>
          <t>Amerika Serikat (908)</t>
        </is>
      </c>
      <c r="C12" s="15" t="inlineStr">
        <is>
          <t>Belanda (278)</t>
        </is>
      </c>
      <c r="D12" s="15" t="inlineStr">
        <is>
          <t>Finlandia (79)</t>
        </is>
      </c>
      <c r="E12" s="15" t="inlineStr">
        <is>
          <t>Malaysia (817)</t>
        </is>
      </c>
    </row>
    <row r="13">
      <c r="A13" s="16" t="inlineStr">
        <is>
          <t>Sama dengan BPS</t>
        </is>
      </c>
      <c r="B13" s="16" t="inlineStr">
        <is>
          <t>5 dari 5</t>
        </is>
      </c>
      <c r="C13" s="16" t="inlineStr">
        <is>
          <t>2 dari 5</t>
        </is>
      </c>
      <c r="D13" s="16" t="inlineStr">
        <is>
          <t>0 dari 5</t>
        </is>
      </c>
      <c r="E13" s="16" t="inlineStr">
        <is>
          <t>5 dari 5</t>
        </is>
      </c>
    </row>
    <row r="15">
      <c r="A15" s="4" t="inlineStr">
        <is>
          <t>Debit: belanja penduduk Indonesia di negara ini</t>
        </is>
      </c>
    </row>
    <row r="16" ht="30" customHeight="1">
      <c r="A16" s="6" t="inlineStr">
        <is>
          <t>Peringkat</t>
        </is>
      </c>
      <c r="B16" s="6" t="inlineStr">
        <is>
          <t>BPS (utama)</t>
        </is>
      </c>
      <c r="C16" s="6" t="inlineStr">
        <is>
          <t>Mirror OECD TIS</t>
        </is>
      </c>
      <c r="D16" s="6" t="inlineStr">
        <is>
          <t>Mirror Eurostat</t>
        </is>
      </c>
      <c r="E16" s="6" t="inlineStr">
        <is>
          <t>Model BaTIS</t>
        </is>
      </c>
      <c r="F16" s="6" t="inlineStr">
        <is>
          <t>Data negara tujuan</t>
        </is>
      </c>
    </row>
    <row r="17">
      <c r="A17" s="13" t="n">
        <v>1</v>
      </c>
      <c r="B17" s="15" t="inlineStr">
        <is>
          <t>Arab Saudi (3,648)</t>
        </is>
      </c>
      <c r="C17" s="15" t="inlineStr">
        <is>
          <t>Australia (1,529)</t>
        </is>
      </c>
      <c r="D17" s="15" t="inlineStr">
        <is>
          <t>Prancis (145)</t>
        </is>
      </c>
      <c r="E17" s="14" t="inlineStr">
        <is>
          <t>Malaysia (1,778)</t>
        </is>
      </c>
      <c r="F17" s="14" t="inlineStr">
        <is>
          <t>Malaysia (3,230)</t>
        </is>
      </c>
    </row>
    <row r="18">
      <c r="A18" s="13" t="n">
        <v>2</v>
      </c>
      <c r="B18" s="14" t="inlineStr">
        <is>
          <t>Malaysia (2,898)</t>
        </is>
      </c>
      <c r="C18" s="14" t="inlineStr">
        <is>
          <t>Jepang (784)</t>
        </is>
      </c>
      <c r="D18" s="15" t="inlineStr">
        <is>
          <t>Belanda (67)</t>
        </is>
      </c>
      <c r="E18" s="15" t="inlineStr">
        <is>
          <t>Australia (1,237)</t>
        </is>
      </c>
      <c r="F18" s="14" t="inlineStr">
        <is>
          <t>Singapura (1,594)</t>
        </is>
      </c>
    </row>
    <row r="19">
      <c r="A19" s="13" t="n">
        <v>3</v>
      </c>
      <c r="B19" s="14" t="inlineStr">
        <is>
          <t>Singapura (1,626)</t>
        </is>
      </c>
      <c r="C19" s="15" t="inlineStr">
        <is>
          <t>Amerika Serikat (761)</t>
        </is>
      </c>
      <c r="D19" s="15" t="inlineStr">
        <is>
          <t>Italia (51)</t>
        </is>
      </c>
      <c r="E19" s="15" t="inlineStr">
        <is>
          <t>Amerika Serikat (1,041)</t>
        </is>
      </c>
      <c r="F19" s="15" t="inlineStr">
        <is>
          <t>Arab Saudi (917)</t>
        </is>
      </c>
    </row>
    <row r="20">
      <c r="A20" s="13" t="n">
        <v>4</v>
      </c>
      <c r="B20" s="15" t="inlineStr">
        <is>
          <t>Tiongkok (932)</t>
        </is>
      </c>
      <c r="C20" s="15" t="inlineStr">
        <is>
          <t>Inggris (345)</t>
        </is>
      </c>
      <c r="D20" s="15" t="inlineStr">
        <is>
          <t>Jerman (24)</t>
        </is>
      </c>
      <c r="E20" s="14" t="inlineStr">
        <is>
          <t>Singapura (884)</t>
        </is>
      </c>
      <c r="F20" s="15" t="inlineStr">
        <is>
          <t>Thailand (828)</t>
        </is>
      </c>
    </row>
    <row r="21">
      <c r="A21" s="13" t="n">
        <v>5</v>
      </c>
      <c r="B21" s="14" t="inlineStr">
        <is>
          <t>Jepang (859)</t>
        </is>
      </c>
      <c r="C21" s="15" t="inlineStr">
        <is>
          <t>Prancis (145)</t>
        </is>
      </c>
      <c r="D21" s="15" t="inlineStr">
        <is>
          <t>Polandia (14)</t>
        </is>
      </c>
      <c r="E21" s="15" t="inlineStr">
        <is>
          <t>Thailand (840)</t>
        </is>
      </c>
      <c r="F21" s="14" t="inlineStr">
        <is>
          <t>Jepang (733)</t>
        </is>
      </c>
    </row>
    <row r="22">
      <c r="A22" s="16" t="inlineStr">
        <is>
          <t>Sama dengan BPS</t>
        </is>
      </c>
      <c r="B22" s="16" t="inlineStr">
        <is>
          <t>5 dari 5</t>
        </is>
      </c>
      <c r="C22" s="16" t="inlineStr">
        <is>
          <t>1 dari 5</t>
        </is>
      </c>
      <c r="D22" s="16" t="inlineStr">
        <is>
          <t>0 dari 5</t>
        </is>
      </c>
      <c r="E22" s="16" t="inlineStr">
        <is>
          <t>2 dari 5</t>
        </is>
      </c>
      <c r="F22" s="16" t="inlineStr">
        <is>
          <t>4 dari 5</t>
        </is>
      </c>
    </row>
    <row r="24">
      <c r="A24" s="4" t="inlineStr">
        <is>
          <t>Surplus terbesar (kredit − debit)</t>
        </is>
      </c>
    </row>
    <row r="25" ht="30" customHeight="1">
      <c r="A25" s="6" t="inlineStr">
        <is>
          <t>Peringkat</t>
        </is>
      </c>
      <c r="B25" s="6" t="inlineStr">
        <is>
          <t>BPS (utama)</t>
        </is>
      </c>
      <c r="C25" s="6" t="inlineStr">
        <is>
          <t>Mirror OECD TIS</t>
        </is>
      </c>
      <c r="D25" s="6" t="inlineStr">
        <is>
          <t>Mirror Eurostat</t>
        </is>
      </c>
      <c r="E25" s="6" t="inlineStr">
        <is>
          <t>Model BaTIS</t>
        </is>
      </c>
    </row>
    <row r="26">
      <c r="A26" s="13" t="n">
        <v>1</v>
      </c>
      <c r="B26" s="14" t="inlineStr">
        <is>
          <t>Australia (2,133)</t>
        </is>
      </c>
      <c r="C26" s="14" t="inlineStr">
        <is>
          <t>Australia (5,217)</t>
        </is>
      </c>
      <c r="D26" s="15" t="inlineStr">
        <is>
          <t>Jerman (449)</t>
        </is>
      </c>
      <c r="E26" s="14" t="inlineStr">
        <is>
          <t>Australia (2,474)</t>
        </is>
      </c>
    </row>
    <row r="27">
      <c r="A27" s="13" t="n">
        <v>2</v>
      </c>
      <c r="B27" s="15" t="inlineStr">
        <is>
          <t>India (793)</t>
        </is>
      </c>
      <c r="C27" s="15" t="inlineStr">
        <is>
          <t>Belanda (210)</t>
        </is>
      </c>
      <c r="D27" s="15" t="inlineStr">
        <is>
          <t>Belanda (210)</t>
        </is>
      </c>
      <c r="E27" s="15" t="inlineStr">
        <is>
          <t>Tiongkok (1,963)</t>
        </is>
      </c>
    </row>
    <row r="28">
      <c r="A28" s="13" t="n">
        <v>3</v>
      </c>
      <c r="B28" s="15" t="inlineStr">
        <is>
          <t>Inggris (552)</t>
        </is>
      </c>
      <c r="C28" s="15" t="inlineStr">
        <is>
          <t>Italia (199)</t>
        </is>
      </c>
      <c r="D28" s="15" t="inlineStr">
        <is>
          <t>Italia (199)</t>
        </is>
      </c>
      <c r="E28" s="15" t="inlineStr">
        <is>
          <t>India (497)</t>
        </is>
      </c>
    </row>
    <row r="29">
      <c r="A29" s="13" t="n">
        <v>4</v>
      </c>
      <c r="B29" s="15" t="inlineStr">
        <is>
          <t>Tiongkok (491)</t>
        </is>
      </c>
      <c r="C29" s="15" t="inlineStr">
        <is>
          <t>Amerika Serikat (107)</t>
        </is>
      </c>
      <c r="D29" s="14" t="inlineStr">
        <is>
          <t>Prancis (102)</t>
        </is>
      </c>
      <c r="E29" s="15" t="inlineStr">
        <is>
          <t>Jerman (352)</t>
        </is>
      </c>
    </row>
    <row r="30">
      <c r="A30" s="13" t="n">
        <v>5</v>
      </c>
      <c r="B30" s="14" t="inlineStr">
        <is>
          <t>Prancis (489)</t>
        </is>
      </c>
      <c r="C30" s="14" t="inlineStr">
        <is>
          <t>Prancis (102)</t>
        </is>
      </c>
      <c r="D30" s="15" t="inlineStr">
        <is>
          <t>Finlandia (64)</t>
        </is>
      </c>
      <c r="E30" s="15" t="inlineStr">
        <is>
          <t>Korea Selatan (302)</t>
        </is>
      </c>
    </row>
    <row r="31">
      <c r="A31" s="16" t="inlineStr">
        <is>
          <t>Sama dengan BPS</t>
        </is>
      </c>
      <c r="B31" s="16" t="inlineStr">
        <is>
          <t>5 dari 5</t>
        </is>
      </c>
      <c r="C31" s="16" t="inlineStr">
        <is>
          <t>2 dari 5</t>
        </is>
      </c>
      <c r="D31" s="16" t="inlineStr">
        <is>
          <t>1 dari 5</t>
        </is>
      </c>
      <c r="E31" s="16" t="inlineStr">
        <is>
          <t>3 dari 5</t>
        </is>
      </c>
    </row>
    <row r="33">
      <c r="A33" s="2" t="inlineStr">
        <is>
          <t>Kenapa bisa beda: mirror hanya berisi negara pelapor (OECD TIS tanpa Tiongkok, Malaysia, Singapura, Arab Saudi, Korea, Thailand; Eurostat hanya Eropa). BaTIS mencakup semua negara tapi hasil model.</t>
        </is>
      </c>
    </row>
    <row r="35">
      <c r="A35" s="4" t="inlineStr">
        <is>
          <t>Uji silang debit BPS dengan data resmi negara tujuan</t>
        </is>
      </c>
    </row>
    <row r="36" ht="30" customHeight="1">
      <c r="A36" s="6" t="inlineStr">
        <is>
          <t>Negara</t>
        </is>
      </c>
      <c r="B36" s="6" t="inlineStr">
        <is>
          <t>Debit BPS</t>
        </is>
      </c>
      <c r="C36" s="6" t="inlineStr">
        <is>
          <t>Data negara tujuan</t>
        </is>
      </c>
      <c r="D36" s="6" t="inlineStr">
        <is>
          <t>BPS / negara tujuan</t>
        </is>
      </c>
      <c r="E36" s="6" t="inlineStr">
        <is>
          <t>Catatan negara tujuan</t>
        </is>
      </c>
    </row>
    <row r="37" ht="40" customHeight="1">
      <c r="A37" s="7" t="n"/>
      <c r="B37" s="7" t="inlineStr">
        <is>
          <t>Dari sheet Neraca per Negara (DIHITUNG SENDIRI)</t>
        </is>
      </c>
      <c r="C37" s="7" t="inlineStr">
        <is>
          <t>Dari sheet Data Negara Tujuan</t>
        </is>
      </c>
      <c r="D37" s="7" t="inlineStr">
        <is>
          <t>DIHITUNG SENDIRI: debit BPS ÷ data negara tujuan</t>
        </is>
      </c>
      <c r="E37" s="7" t="n"/>
    </row>
    <row r="38">
      <c r="A38" s="8" t="inlineStr">
        <is>
          <t>Malaysia</t>
        </is>
      </c>
      <c r="B38" s="10" t="n">
        <v>2898.444280035374</v>
      </c>
      <c r="C38" s="10" t="n">
        <v>3230.199069777268</v>
      </c>
      <c r="D38" s="17" t="n">
        <v>0.8972958685903004</v>
      </c>
      <c r="E38" s="8" t="inlineStr">
        <is>
          <t>Tourism Malaysia: Tiket pesawat internasional (2.2%) dikeluarkan</t>
        </is>
      </c>
    </row>
    <row r="39">
      <c r="A39" s="8" t="inlineStr">
        <is>
          <t>Singapura</t>
        </is>
      </c>
      <c r="B39" s="10" t="n">
        <v>1626.424404217704</v>
      </c>
      <c r="C39" s="10" t="n">
        <v>1594.032978272262</v>
      </c>
      <c r="D39" s="17" t="n">
        <v>1.020320423973004</v>
      </c>
      <c r="E39" s="8" t="inlineStr">
        <is>
          <t>STB: Hanya Jan–Sep; tanpa wisata, hiburan &amp; judi</t>
        </is>
      </c>
    </row>
    <row r="40">
      <c r="A40" s="8" t="inlineStr">
        <is>
          <t>Jepang</t>
        </is>
      </c>
      <c r="B40" s="10" t="n">
        <v>858.6940883000761</v>
      </c>
      <c r="C40" s="10" t="n">
        <v>732.6598217180766</v>
      </c>
      <c r="D40" s="17" t="n">
        <v>1.172022899094495</v>
      </c>
      <c r="E40" s="8" t="inlineStr">
        <is>
          <t>JTA: Jan–Des</t>
        </is>
      </c>
    </row>
    <row r="41">
      <c r="A41" s="8" t="inlineStr">
        <is>
          <t>Thailand</t>
        </is>
      </c>
      <c r="B41" s="10" t="n">
        <v>638.0703532532559</v>
      </c>
      <c r="C41" s="10" t="n">
        <v>827.83</v>
      </c>
      <c r="D41" s="17" t="n">
        <v>0.7707746194910258</v>
      </c>
      <c r="E41" s="8" t="inlineStr">
        <is>
          <t>MOTS: USD sesuai publikasi MOTS</t>
        </is>
      </c>
    </row>
    <row r="42">
      <c r="A42" s="8" t="inlineStr">
        <is>
          <t>Arab Saudi</t>
        </is>
      </c>
      <c r="B42" s="10" t="n">
        <v>3648.463692539687</v>
      </c>
      <c r="C42" s="10" t="n">
        <v>916.705643587433</v>
      </c>
      <c r="D42" s="17" t="n">
        <v>3.979972980488918</v>
      </c>
      <c r="E42" s="8" t="inlineStr">
        <is>
          <t>Haji: Haji saja (kuota × biaya di luar tiket); umrah tidak tersedia</t>
        </is>
      </c>
    </row>
    <row r="44">
      <c r="A44" s="4" t="inlineStr">
        <is>
          <t>Uji silang kredit BPS dengan laporan negara mitra (mirror OECD TIS)</t>
        </is>
      </c>
    </row>
    <row r="45" ht="30" customHeight="1">
      <c r="A45" s="6" t="inlineStr">
        <is>
          <t>Negara</t>
        </is>
      </c>
      <c r="B45" s="6" t="inlineStr">
        <is>
          <t>Kredit BPS</t>
        </is>
      </c>
      <c r="C45" s="6" t="inlineStr">
        <is>
          <t>Kredit menurut negara mitra</t>
        </is>
      </c>
      <c r="D45" s="6" t="inlineStr">
        <is>
          <t>BPS / mitra</t>
        </is>
      </c>
      <c r="E45" s="6" t="inlineStr"/>
    </row>
    <row r="46" ht="40" customHeight="1">
      <c r="A46" s="7" t="n"/>
      <c r="B46" s="7" t="inlineStr">
        <is>
          <t>Dari sheet Neraca per Negara (DIHITUNG SENDIRI)</t>
        </is>
      </c>
      <c r="C46" s="7" t="inlineStr">
        <is>
          <t>Dari sheet Mirror – OECD TIS (GIVEN, mirroring)</t>
        </is>
      </c>
      <c r="D46" s="7" t="inlineStr">
        <is>
          <t>DIHITUNG SENDIRI: kredit BPS ÷ kredit mitra</t>
        </is>
      </c>
      <c r="E46" s="7" t="n"/>
    </row>
    <row r="47">
      <c r="A47" s="8" t="inlineStr">
        <is>
          <t>Australia</t>
        </is>
      </c>
      <c r="B47" s="10" t="n">
        <v>2862.38983646</v>
      </c>
      <c r="C47" s="10" t="n">
        <v>6746.3</v>
      </c>
      <c r="D47" s="17" t="n">
        <v>0.4242903275069297</v>
      </c>
      <c r="E47" s="8" t="inlineStr"/>
    </row>
    <row r="48">
      <c r="A48" s="8" t="inlineStr">
        <is>
          <t>Amerika Serikat</t>
        </is>
      </c>
      <c r="B48" s="10" t="n">
        <v>908.11380114</v>
      </c>
      <c r="C48" s="10" t="n">
        <v>868</v>
      </c>
      <c r="D48" s="17" t="n">
        <v>1.046214056612903</v>
      </c>
      <c r="E48" s="8" t="inlineStr"/>
    </row>
    <row r="49">
      <c r="A49" s="8" t="inlineStr">
        <is>
          <t>Inggris</t>
        </is>
      </c>
      <c r="B49" s="10" t="n">
        <v>765.46354608</v>
      </c>
      <c r="C49" s="10" t="n">
        <v>397.5</v>
      </c>
      <c r="D49" s="17" t="n">
        <v>1.92569445554717</v>
      </c>
      <c r="E49" s="8" t="inlineStr"/>
    </row>
    <row r="50">
      <c r="A50" s="8" t="inlineStr">
        <is>
          <t>Prancis</t>
        </is>
      </c>
      <c r="B50" s="10" t="n">
        <v>659.9675087200001</v>
      </c>
      <c r="C50" s="10" t="n">
        <v>247.9</v>
      </c>
      <c r="D50" s="17" t="n">
        <v>2.662232790318677</v>
      </c>
      <c r="E50" s="8" t="inlineStr"/>
    </row>
    <row r="51">
      <c r="A51" s="8" t="inlineStr">
        <is>
          <t>Belanda</t>
        </is>
      </c>
      <c r="B51" s="10" t="n">
        <v>597.7687475</v>
      </c>
      <c r="C51" s="10" t="n">
        <v>277.6</v>
      </c>
      <c r="D51" s="17" t="n">
        <v>2.153345632204611</v>
      </c>
      <c r="E51" s="8" t="inlineStr"/>
    </row>
    <row r="52">
      <c r="A52" s="8" t="inlineStr">
        <is>
          <t>Jepang</t>
        </is>
      </c>
      <c r="B52" s="10" t="n">
        <v>458.219912</v>
      </c>
      <c r="C52" s="10" t="n">
        <v>324</v>
      </c>
      <c r="D52" s="17" t="n">
        <v>1.414258987654321</v>
      </c>
      <c r="E52" s="8" t="inlineStr"/>
    </row>
    <row r="53">
      <c r="A53" s="8" t="inlineStr">
        <is>
          <t>Selandia Baru</t>
        </is>
      </c>
      <c r="B53" s="10" t="n">
        <v>276.98963515</v>
      </c>
      <c r="C53" s="10" t="n">
        <v>151.2</v>
      </c>
      <c r="D53" s="17" t="n">
        <v>1.831942031415344</v>
      </c>
      <c r="E53" s="8" t="inlineStr"/>
    </row>
    <row r="54">
      <c r="A54" s="8" t="inlineStr">
        <is>
          <t>Italia</t>
        </is>
      </c>
      <c r="B54" s="10" t="n">
        <v>256.30315326</v>
      </c>
      <c r="C54" s="10" t="n">
        <v>250</v>
      </c>
      <c r="D54" s="17" t="n">
        <v>1.02521261304</v>
      </c>
      <c r="E54" s="8" t="inlineStr"/>
    </row>
    <row r="56">
      <c r="A56" s="2" t="inlineStr">
        <is>
          <t>Australia melaporkan belanja warganya di Indonesia jauh lebih besar dari survei BPS; selisih antarnegara seperti ini (asimetri) umum di statistik jasa.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30" customWidth="1" min="5" max="5"/>
  </cols>
  <sheetData>
    <row r="1">
      <c r="A1" s="1" t="inlineStr">
        <is>
          <t>Perhitungan neraca dari data BPS, 2024</t>
        </is>
      </c>
    </row>
    <row r="2">
      <c r="A2" s="2" t="inlineStr">
        <is>
          <t>Kredit = kunjungan wisman × rata-rata pengeluaran per kunjungan. Debit = total perjalanan WNI × pangsa negara tujuan × rata-rata pengeluaran per perjalanan (tanpa tiket pesawat internasional).</t>
        </is>
      </c>
    </row>
    <row r="3">
      <c r="A3" s="3" t="inlineStr">
        <is>
          <t>Label abu-abu di bawah judul kolom → GIVEN: diambil apa adanya dari sumber · DIHITUNG SENDIRI: kami hitung, caranya tertulis · ASUMSI SENDIRI: pilihan kami karena sumber tidak menyediakan angkanya.</t>
        </is>
      </c>
    </row>
    <row r="4">
      <c r="A4" s="18" t="inlineStr">
        <is>
          <t>Kredit: belanja wisatawan mancanegara di Indonesia</t>
        </is>
      </c>
    </row>
    <row r="5" ht="42" customHeight="1">
      <c r="A5" s="6" t="inlineStr">
        <is>
          <t>Negara (kebangsaan)</t>
        </is>
      </c>
      <c r="B5" s="6" t="inlineStr">
        <is>
          <t>Kunjungan (orang)</t>
        </is>
      </c>
      <c r="C5" s="6" t="inlineStr">
        <is>
          <t>Pengeluaran per kunjungan (USD)</t>
        </is>
      </c>
      <c r="D5" s="6" t="inlineStr">
        <is>
          <t>Kredit (USD juta)</t>
        </is>
      </c>
    </row>
    <row r="6" ht="40" customHeight="1">
      <c r="A6" s="7" t="n"/>
      <c r="B6" s="7" t="inlineStr">
        <is>
          <t>GIVEN (BPS var 1470, jumlah Jan–Des)</t>
        </is>
      </c>
      <c r="C6" s="7" t="inlineStr">
        <is>
          <t>GIVEN (BPS var 272)</t>
        </is>
      </c>
      <c r="D6" s="7" t="inlineStr">
        <is>
          <t>DIHITUNG SENDIRI: B × C ÷ 1.000.000</t>
        </is>
      </c>
    </row>
    <row r="7">
      <c r="A7" s="8" t="inlineStr">
        <is>
          <t>Australia</t>
        </is>
      </c>
      <c r="B7" s="10" t="n">
        <v>1671166</v>
      </c>
      <c r="C7" s="9" t="n">
        <v>1712.81</v>
      </c>
      <c r="D7" s="9">
        <f>B7*C7/1000000</f>
        <v/>
      </c>
    </row>
    <row r="8">
      <c r="A8" s="8" t="inlineStr">
        <is>
          <t>Malaysia</t>
        </is>
      </c>
      <c r="B8" s="10" t="n">
        <v>2270556</v>
      </c>
      <c r="C8" s="9" t="n">
        <v>693.0700000000001</v>
      </c>
      <c r="D8" s="9">
        <f>B8*C8/1000000</f>
        <v/>
      </c>
    </row>
    <row r="9">
      <c r="A9" s="8" t="inlineStr">
        <is>
          <t>Tiongkok</t>
        </is>
      </c>
      <c r="B9" s="10" t="n">
        <v>1197534</v>
      </c>
      <c r="C9" s="9" t="n">
        <v>1188.02</v>
      </c>
      <c r="D9" s="9">
        <f>B9*C9/1000000</f>
        <v/>
      </c>
    </row>
    <row r="10">
      <c r="A10" s="8" t="inlineStr">
        <is>
          <t>Singapura</t>
        </is>
      </c>
      <c r="B10" s="10" t="n">
        <v>1405298</v>
      </c>
      <c r="C10" s="9" t="n">
        <v>707.6900000000001</v>
      </c>
      <c r="D10" s="9">
        <f>B10*C10/1000000</f>
        <v/>
      </c>
    </row>
    <row r="11">
      <c r="A11" s="8" t="inlineStr">
        <is>
          <t>Amerika Serikat</t>
        </is>
      </c>
      <c r="B11" s="10" t="n">
        <v>415883</v>
      </c>
      <c r="C11" s="9" t="n">
        <v>2183.58</v>
      </c>
      <c r="D11" s="9">
        <f>B11*C11/1000000</f>
        <v/>
      </c>
    </row>
    <row r="12">
      <c r="A12" s="8" t="inlineStr">
        <is>
          <t>India</t>
        </is>
      </c>
      <c r="B12" s="10" t="n">
        <v>710207</v>
      </c>
      <c r="C12" s="9" t="n">
        <v>1147.99</v>
      </c>
      <c r="D12" s="9">
        <f>B12*C12/1000000</f>
        <v/>
      </c>
    </row>
    <row r="13">
      <c r="A13" s="8" t="inlineStr">
        <is>
          <t>Inggris</t>
        </is>
      </c>
      <c r="B13" s="10" t="n">
        <v>391806</v>
      </c>
      <c r="C13" s="9" t="n">
        <v>1953.68</v>
      </c>
      <c r="D13" s="9">
        <f>B13*C13/1000000</f>
        <v/>
      </c>
    </row>
    <row r="14">
      <c r="A14" s="8" t="inlineStr">
        <is>
          <t>Prancis</t>
        </is>
      </c>
      <c r="B14" s="10" t="n">
        <v>346436</v>
      </c>
      <c r="C14" s="9" t="n">
        <v>1905.02</v>
      </c>
      <c r="D14" s="9">
        <f>B14*C14/1000000</f>
        <v/>
      </c>
    </row>
    <row r="15">
      <c r="A15" s="8" t="inlineStr">
        <is>
          <t>Korea Selatan</t>
        </is>
      </c>
      <c r="B15" s="10" t="n">
        <v>435975</v>
      </c>
      <c r="C15" s="9" t="n">
        <v>1383.63</v>
      </c>
      <c r="D15" s="9">
        <f>B15*C15/1000000</f>
        <v/>
      </c>
    </row>
    <row r="16">
      <c r="A16" s="8" t="inlineStr">
        <is>
          <t>Belanda</t>
        </is>
      </c>
      <c r="B16" s="10" t="n">
        <v>309805</v>
      </c>
      <c r="C16" s="9" t="n">
        <v>1929.5</v>
      </c>
      <c r="D16" s="9">
        <f>B16*C16/1000000</f>
        <v/>
      </c>
    </row>
    <row r="17">
      <c r="A17" s="8" t="inlineStr">
        <is>
          <t>Jerman</t>
        </is>
      </c>
      <c r="B17" s="10" t="n">
        <v>280997</v>
      </c>
      <c r="C17" s="9" t="n">
        <v>2038.74</v>
      </c>
      <c r="D17" s="9">
        <f>B17*C17/1000000</f>
        <v/>
      </c>
    </row>
    <row r="18">
      <c r="A18" s="8" t="inlineStr">
        <is>
          <t>Jepang</t>
        </is>
      </c>
      <c r="B18" s="10" t="n">
        <v>338900</v>
      </c>
      <c r="C18" s="9" t="n">
        <v>1352.08</v>
      </c>
      <c r="D18" s="9">
        <f>B18*C18/1000000</f>
        <v/>
      </c>
    </row>
    <row r="19">
      <c r="A19" s="8" t="inlineStr">
        <is>
          <t>Rusia</t>
        </is>
      </c>
      <c r="B19" s="10" t="n">
        <v>180125</v>
      </c>
      <c r="C19" s="9" t="n">
        <v>2113.85</v>
      </c>
      <c r="D19" s="9">
        <f>B19*C19/1000000</f>
        <v/>
      </c>
    </row>
    <row r="20">
      <c r="A20" s="8" t="inlineStr">
        <is>
          <t>Spanyol</t>
        </is>
      </c>
      <c r="B20" s="10" t="n">
        <v>141400</v>
      </c>
      <c r="C20" s="9" t="n">
        <v>2109.05</v>
      </c>
      <c r="D20" s="9">
        <f>B20*C20/1000000</f>
        <v/>
      </c>
    </row>
    <row r="21">
      <c r="A21" s="8" t="inlineStr">
        <is>
          <t>Selandia Baru</t>
        </is>
      </c>
      <c r="B21" s="10" t="n">
        <v>159205</v>
      </c>
      <c r="C21" s="9" t="n">
        <v>1739.83</v>
      </c>
      <c r="D21" s="9">
        <f>B21*C21/1000000</f>
        <v/>
      </c>
    </row>
    <row r="22">
      <c r="A22" s="8" t="inlineStr">
        <is>
          <t>Arab Saudi</t>
        </is>
      </c>
      <c r="B22" s="10" t="n">
        <v>135560</v>
      </c>
      <c r="C22" s="9" t="n">
        <v>1944.93</v>
      </c>
      <c r="D22" s="9">
        <f>B22*C22/1000000</f>
        <v/>
      </c>
    </row>
    <row r="23">
      <c r="A23" s="8" t="inlineStr">
        <is>
          <t>Italia</t>
        </is>
      </c>
      <c r="B23" s="10" t="n">
        <v>131151</v>
      </c>
      <c r="C23" s="9" t="n">
        <v>1954.26</v>
      </c>
      <c r="D23" s="9">
        <f>B23*C23/1000000</f>
        <v/>
      </c>
    </row>
    <row r="24">
      <c r="A24" s="8" t="inlineStr">
        <is>
          <t>Filipina</t>
        </is>
      </c>
      <c r="B24" s="10" t="n">
        <v>238410</v>
      </c>
      <c r="C24" s="9" t="n">
        <v>1005.25</v>
      </c>
      <c r="D24" s="9">
        <f>B24*C24/1000000</f>
        <v/>
      </c>
    </row>
    <row r="25">
      <c r="A25" s="8" t="inlineStr">
        <is>
          <t>Kanada</t>
        </is>
      </c>
      <c r="B25" s="10" t="n">
        <v>87881</v>
      </c>
      <c r="C25" s="9" t="n">
        <v>1903.27</v>
      </c>
      <c r="D25" s="9">
        <f>B25*C25/1000000</f>
        <v/>
      </c>
    </row>
    <row r="26">
      <c r="A26" s="8" t="inlineStr">
        <is>
          <t>Thailand</t>
        </is>
      </c>
      <c r="B26" s="10" t="n">
        <v>118193</v>
      </c>
      <c r="C26" s="9" t="n">
        <v>1107.35</v>
      </c>
      <c r="D26" s="9">
        <f>B26*C26/1000000</f>
        <v/>
      </c>
    </row>
    <row r="27">
      <c r="A27" s="8" t="inlineStr">
        <is>
          <t>Swiss</t>
        </is>
      </c>
      <c r="B27" s="10" t="n">
        <v>58128</v>
      </c>
      <c r="C27" s="9" t="n">
        <v>2194.35</v>
      </c>
      <c r="D27" s="9">
        <f>B27*C27/1000000</f>
        <v/>
      </c>
    </row>
    <row r="28">
      <c r="A28" s="8" t="inlineStr">
        <is>
          <t>Belgia</t>
        </is>
      </c>
      <c r="B28" s="10" t="n">
        <v>52830</v>
      </c>
      <c r="C28" s="9" t="n">
        <v>2148.78</v>
      </c>
      <c r="D28" s="9">
        <f>B28*C28/1000000</f>
        <v/>
      </c>
    </row>
    <row r="29">
      <c r="A29" s="8" t="inlineStr">
        <is>
          <t>Austria</t>
        </is>
      </c>
      <c r="B29" s="10" t="n">
        <v>38229</v>
      </c>
      <c r="C29" s="9" t="n">
        <v>2175.82</v>
      </c>
      <c r="D29" s="9">
        <f>B29*C29/1000000</f>
        <v/>
      </c>
    </row>
    <row r="30">
      <c r="A30" s="8" t="inlineStr">
        <is>
          <t>Denmark</t>
        </is>
      </c>
      <c r="B30" s="10" t="n">
        <v>42138</v>
      </c>
      <c r="C30" s="9" t="n">
        <v>1808.11</v>
      </c>
      <c r="D30" s="9">
        <f>B30*C30/1000000</f>
        <v/>
      </c>
    </row>
    <row r="31">
      <c r="A31" s="8" t="inlineStr">
        <is>
          <t>Portugal</t>
        </is>
      </c>
      <c r="B31" s="10" t="n">
        <v>37351</v>
      </c>
      <c r="C31" s="9" t="n">
        <v>2000.7</v>
      </c>
      <c r="D31" s="9">
        <f>B31*C31/1000000</f>
        <v/>
      </c>
    </row>
    <row r="32">
      <c r="A32" s="8" t="inlineStr">
        <is>
          <t>Swedia</t>
        </is>
      </c>
      <c r="B32" s="10" t="n">
        <v>40087</v>
      </c>
      <c r="C32" s="9" t="n">
        <v>1808.1</v>
      </c>
      <c r="D32" s="9">
        <f>B32*C32/1000000</f>
        <v/>
      </c>
    </row>
    <row r="33">
      <c r="A33" s="8" t="inlineStr">
        <is>
          <t>Norwegia</t>
        </is>
      </c>
      <c r="B33" s="10" t="n">
        <v>22165</v>
      </c>
      <c r="C33" s="9" t="n">
        <v>1984.7</v>
      </c>
      <c r="D33" s="9">
        <f>B33*C33/1000000</f>
        <v/>
      </c>
    </row>
    <row r="34">
      <c r="A34" s="8" t="inlineStr">
        <is>
          <t>Pakistan</t>
        </is>
      </c>
      <c r="B34" s="10" t="n">
        <v>23133</v>
      </c>
      <c r="C34" s="9" t="n">
        <v>1315.53</v>
      </c>
      <c r="D34" s="9">
        <f>B34*C34/1000000</f>
        <v/>
      </c>
    </row>
    <row r="35">
      <c r="A35" s="8" t="inlineStr">
        <is>
          <t>Mesir</t>
        </is>
      </c>
      <c r="B35" s="10" t="n">
        <v>19683</v>
      </c>
      <c r="C35" s="9" t="n">
        <v>1538.55</v>
      </c>
      <c r="D35" s="9">
        <f>B35*C35/1000000</f>
        <v/>
      </c>
    </row>
    <row r="36">
      <c r="A36" s="8" t="inlineStr">
        <is>
          <t>Finlandia</t>
        </is>
      </c>
      <c r="B36" s="10" t="n">
        <v>14860</v>
      </c>
      <c r="C36" s="9" t="n">
        <v>1932.52</v>
      </c>
      <c r="D36" s="9">
        <f>B36*C36/1000000</f>
        <v/>
      </c>
    </row>
    <row r="37">
      <c r="A37" s="8" t="inlineStr">
        <is>
          <t>Brunei Darussalam</t>
        </is>
      </c>
      <c r="B37" s="10" t="n">
        <v>19811</v>
      </c>
      <c r="C37" s="9" t="n">
        <v>1064.9</v>
      </c>
      <c r="D37" s="9">
        <f>B37*C37/1000000</f>
        <v/>
      </c>
    </row>
    <row r="38">
      <c r="A38" s="8" t="inlineStr">
        <is>
          <t>Bangladesh</t>
        </is>
      </c>
      <c r="B38" s="10" t="n">
        <v>12729</v>
      </c>
      <c r="C38" s="9" t="n">
        <v>1231.58</v>
      </c>
      <c r="D38" s="9">
        <f>B38*C38/1000000</f>
        <v/>
      </c>
    </row>
    <row r="39">
      <c r="A39" s="8" t="inlineStr">
        <is>
          <t>Sri Lanka</t>
        </is>
      </c>
      <c r="B39" s="10" t="n">
        <v>10083</v>
      </c>
      <c r="C39" s="9" t="n">
        <v>1295.34</v>
      </c>
      <c r="D39" s="9">
        <f>B39*C39/1000000</f>
        <v/>
      </c>
    </row>
    <row r="40">
      <c r="A40" s="8" t="inlineStr">
        <is>
          <t>Negara lainnya (sisa)</t>
        </is>
      </c>
      <c r="B40" s="10">
        <f>B41-SUM(B7:B39)</f>
        <v/>
      </c>
      <c r="C40" s="9" t="n"/>
      <c r="D40" s="9">
        <f>D41-SUM(D7:D39)</f>
        <v/>
      </c>
    </row>
    <row r="41">
      <c r="A41" s="19" t="inlineStr">
        <is>
          <t>Total semua kunjungan</t>
        </is>
      </c>
      <c r="B41" s="10" t="n">
        <v>13886678</v>
      </c>
      <c r="C41" s="9" t="n">
        <v>1391.85</v>
      </c>
      <c r="D41" s="20">
        <f>B41*C41/1000000</f>
        <v/>
      </c>
    </row>
    <row r="42">
      <c r="A42" s="2" t="inlineStr">
        <is>
          <t>Baris total: kunjungan dan rata-rata (USD 1.391,85) GIVEN dari BPS; kredit DIHITUNG SENDIRI (B × C). Baris 'negara lainnya': DIHITUNG SENDIRI = total dikurangi negara yang dirinci.</t>
        </is>
      </c>
    </row>
    <row r="43">
      <c r="A43" s="5" t="inlineStr">
        <is>
          <t>Sumber: BPS (var 272 pengeluaran, var 1470 kunjungan)</t>
        </is>
      </c>
    </row>
    <row r="46">
      <c r="A46" s="18" t="inlineStr">
        <is>
          <t>Debit: belanja penduduk Indonesia di luar negeri</t>
        </is>
      </c>
    </row>
    <row r="47">
      <c r="A47" s="13" t="inlineStr">
        <is>
          <t>Total perjalanan WNI ke luar negeri (GIVEN, BPS var 2195)</t>
        </is>
      </c>
      <c r="B47" s="21" t="n">
        <v>8946794</v>
      </c>
    </row>
    <row r="48" ht="42" customHeight="1">
      <c r="A48" s="6" t="inlineStr">
        <is>
          <t>Negara tujuan</t>
        </is>
      </c>
      <c r="B48" s="6" t="inlineStr">
        <is>
          <t>Pangsa perjalanan (%)</t>
        </is>
      </c>
      <c r="C48" s="6" t="inlineStr">
        <is>
          <t>Pengeluaran per perjalanan (USD)</t>
        </is>
      </c>
      <c r="D48" s="6" t="inlineStr">
        <is>
          <t>Debit (USD juta)</t>
        </is>
      </c>
      <c r="E48" s="6" t="inlineStr">
        <is>
          <t>Basis pengeluaran</t>
        </is>
      </c>
    </row>
    <row r="49" ht="52" customHeight="1">
      <c r="A49" s="7" t="n"/>
      <c r="B49" s="7" t="inlineStr">
        <is>
          <t>GIVEN (BPS Lampiran 4)</t>
        </is>
      </c>
      <c r="C49" s="7" t="inlineStr">
        <is>
          <t>GIVEN (BPS Lampiran 20) — kecuali baris 'rata-rata kelompok' = ASUMSI SENDIRI</t>
        </is>
      </c>
      <c r="D49" s="7" t="inlineStr">
        <is>
          <t>DIHITUNG SENDIRI: total perjalanan × B ÷ 100 × C ÷ 1.000.000</t>
        </is>
      </c>
      <c r="E49" s="7" t="inlineStr">
        <is>
          <t>ASUMSI SENDIRI: negara tanpa angka sendiri dipetakan ke kelompoknya</t>
        </is>
      </c>
    </row>
    <row r="50">
      <c r="A50" s="8" t="inlineStr">
        <is>
          <t>Arab Saudi</t>
        </is>
      </c>
      <c r="B50" s="22" t="n">
        <v>15.69</v>
      </c>
      <c r="C50" s="9" t="n">
        <v>2599.08</v>
      </c>
      <c r="D50" s="9">
        <f>$B$47*B50/100*C50/1000000</f>
        <v/>
      </c>
      <c r="E50" s="8" t="inlineStr">
        <is>
          <t>angka negara ini</t>
        </is>
      </c>
    </row>
    <row r="51">
      <c r="A51" s="8" t="inlineStr">
        <is>
          <t>Malaysia</t>
        </is>
      </c>
      <c r="B51" s="22" t="n">
        <v>31.01</v>
      </c>
      <c r="C51" s="9" t="n">
        <v>1044.71</v>
      </c>
      <c r="D51" s="9">
        <f>$B$47*B51/100*C51/1000000</f>
        <v/>
      </c>
      <c r="E51" s="8" t="inlineStr">
        <is>
          <t>angka negara ini</t>
        </is>
      </c>
    </row>
    <row r="52">
      <c r="A52" s="8" t="inlineStr">
        <is>
          <t>Singapura</t>
        </is>
      </c>
      <c r="B52" s="22" t="n">
        <v>14.84</v>
      </c>
      <c r="C52" s="9" t="n">
        <v>1224.99</v>
      </c>
      <c r="D52" s="9">
        <f>$B$47*B52/100*C52/1000000</f>
        <v/>
      </c>
      <c r="E52" s="8" t="inlineStr">
        <is>
          <t>angka negara ini</t>
        </is>
      </c>
    </row>
    <row r="53">
      <c r="A53" s="8" t="inlineStr">
        <is>
          <t>Tiongkok</t>
        </is>
      </c>
      <c r="B53" s="22" t="n">
        <v>4.78</v>
      </c>
      <c r="C53" s="9" t="n">
        <v>2178.75</v>
      </c>
      <c r="D53" s="9">
        <f>$B$47*B53/100*C53/1000000</f>
        <v/>
      </c>
      <c r="E53" s="8" t="inlineStr">
        <is>
          <t>angka negara ini</t>
        </is>
      </c>
    </row>
    <row r="54">
      <c r="A54" s="8" t="inlineStr">
        <is>
          <t>Jepang</t>
        </is>
      </c>
      <c r="B54" s="22" t="n">
        <v>3.29</v>
      </c>
      <c r="C54" s="9" t="n">
        <v>2917.26</v>
      </c>
      <c r="D54" s="9">
        <f>$B$47*B54/100*C54/1000000</f>
        <v/>
      </c>
      <c r="E54" s="8" t="inlineStr">
        <is>
          <t>angka negara ini</t>
        </is>
      </c>
    </row>
    <row r="55">
      <c r="A55" s="8" t="inlineStr">
        <is>
          <t>Australia</t>
        </is>
      </c>
      <c r="B55" s="22" t="n">
        <v>2.04</v>
      </c>
      <c r="C55" s="9" t="n">
        <v>3997.23</v>
      </c>
      <c r="D55" s="9">
        <f>$B$47*B55/100*C55/1000000</f>
        <v/>
      </c>
      <c r="E55" s="8" t="inlineStr">
        <is>
          <t>angka negara ini</t>
        </is>
      </c>
    </row>
    <row r="56">
      <c r="A56" s="8" t="inlineStr">
        <is>
          <t>Thailand</t>
        </is>
      </c>
      <c r="B56" s="22" t="n">
        <v>5.39</v>
      </c>
      <c r="C56" s="9" t="n">
        <v>1323.16</v>
      </c>
      <c r="D56" s="9">
        <f>$B$47*B56/100*C56/1000000</f>
        <v/>
      </c>
      <c r="E56" s="8" t="inlineStr">
        <is>
          <t>angka negara ini</t>
        </is>
      </c>
    </row>
    <row r="57">
      <c r="A57" s="8" t="inlineStr">
        <is>
          <t>Timor-Leste</t>
        </is>
      </c>
      <c r="B57" s="22" t="n">
        <v>3.92</v>
      </c>
      <c r="C57" s="9" t="n">
        <v>1554.34</v>
      </c>
      <c r="D57" s="9">
        <f>$B$47*B57/100*C57/1000000</f>
        <v/>
      </c>
      <c r="E57" s="8" t="inlineStr">
        <is>
          <t>rata-rata kelompok 'asia lainnya'</t>
        </is>
      </c>
    </row>
    <row r="58">
      <c r="A58" s="8" t="inlineStr">
        <is>
          <t>Amerika Serikat</t>
        </is>
      </c>
      <c r="B58" s="22" t="n">
        <v>1.02</v>
      </c>
      <c r="C58" s="9" t="n">
        <v>5034.17</v>
      </c>
      <c r="D58" s="9">
        <f>$B$47*B58/100*C58/1000000</f>
        <v/>
      </c>
      <c r="E58" s="8" t="inlineStr">
        <is>
          <t>angka negara ini</t>
        </is>
      </c>
    </row>
    <row r="59">
      <c r="A59" s="8" t="inlineStr">
        <is>
          <t>Korea Selatan</t>
        </is>
      </c>
      <c r="B59" s="22" t="n">
        <v>1.71</v>
      </c>
      <c r="C59" s="9" t="n">
        <v>2524.7</v>
      </c>
      <c r="D59" s="9">
        <f>$B$47*B59/100*C59/1000000</f>
        <v/>
      </c>
      <c r="E59" s="8" t="inlineStr">
        <is>
          <t>angka negara ini</t>
        </is>
      </c>
    </row>
    <row r="60">
      <c r="A60" s="8" t="inlineStr">
        <is>
          <t>Uni Emirat Arab</t>
        </is>
      </c>
      <c r="B60" s="22" t="n">
        <v>0.93</v>
      </c>
      <c r="C60" s="9" t="n">
        <v>3163.1</v>
      </c>
      <c r="D60" s="9">
        <f>$B$47*B60/100*C60/1000000</f>
        <v/>
      </c>
      <c r="E60" s="8" t="inlineStr">
        <is>
          <t>rata-rata kelompok 'timur tengah lainnya'</t>
        </is>
      </c>
    </row>
    <row r="61">
      <c r="A61" s="8" t="inlineStr">
        <is>
          <t>Hong Kong</t>
        </is>
      </c>
      <c r="B61" s="22" t="n">
        <v>1.2</v>
      </c>
      <c r="C61" s="9" t="n">
        <v>2110.29</v>
      </c>
      <c r="D61" s="9">
        <f>$B$47*B61/100*C61/1000000</f>
        <v/>
      </c>
      <c r="E61" s="8" t="inlineStr">
        <is>
          <t>angka negara ini</t>
        </is>
      </c>
    </row>
    <row r="62">
      <c r="A62" s="8" t="inlineStr">
        <is>
          <t>Inggris</t>
        </is>
      </c>
      <c r="B62" s="22" t="n">
        <v>0.5</v>
      </c>
      <c r="C62" s="9" t="n">
        <v>4770.97</v>
      </c>
      <c r="D62" s="9">
        <f>$B$47*B62/100*C62/1000000</f>
        <v/>
      </c>
      <c r="E62" s="8" t="inlineStr">
        <is>
          <t>rata-rata kelompok 'eropa'</t>
        </is>
      </c>
    </row>
    <row r="63">
      <c r="A63" s="8" t="inlineStr">
        <is>
          <t>Belanda</t>
        </is>
      </c>
      <c r="B63" s="22" t="n">
        <v>0.4</v>
      </c>
      <c r="C63" s="9" t="n">
        <v>4770.97</v>
      </c>
      <c r="D63" s="9">
        <f>$B$47*B63/100*C63/1000000</f>
        <v/>
      </c>
      <c r="E63" s="8" t="inlineStr">
        <is>
          <t>rata-rata kelompok 'eropa'</t>
        </is>
      </c>
    </row>
    <row r="64">
      <c r="A64" s="8" t="inlineStr">
        <is>
          <t>Prancis</t>
        </is>
      </c>
      <c r="B64" s="22" t="n">
        <v>0.4</v>
      </c>
      <c r="C64" s="9" t="n">
        <v>4770.97</v>
      </c>
      <c r="D64" s="9">
        <f>$B$47*B64/100*C64/1000000</f>
        <v/>
      </c>
      <c r="E64" s="8" t="inlineStr">
        <is>
          <t>rata-rata kelompok 'eropa'</t>
        </is>
      </c>
    </row>
    <row r="65">
      <c r="A65" s="8" t="inlineStr">
        <is>
          <t>Vietnam</t>
        </is>
      </c>
      <c r="B65" s="22" t="n">
        <v>1.49</v>
      </c>
      <c r="C65" s="9" t="n">
        <v>1213.68</v>
      </c>
      <c r="D65" s="9">
        <f>$B$47*B65/100*C65/1000000</f>
        <v/>
      </c>
      <c r="E65" s="8" t="inlineStr">
        <is>
          <t>angka negara ini</t>
        </is>
      </c>
    </row>
    <row r="66">
      <c r="A66" s="8" t="inlineStr">
        <is>
          <t>Filipina</t>
        </is>
      </c>
      <c r="B66" s="22" t="n">
        <v>1.01</v>
      </c>
      <c r="C66" s="9" t="n">
        <v>1638.92</v>
      </c>
      <c r="D66" s="9">
        <f>$B$47*B66/100*C66/1000000</f>
        <v/>
      </c>
      <c r="E66" s="8" t="inlineStr">
        <is>
          <t>rata-rata kelompok 'asean lainnya'</t>
        </is>
      </c>
    </row>
    <row r="67">
      <c r="A67" s="8" t="inlineStr">
        <is>
          <t>Jerman</t>
        </is>
      </c>
      <c r="B67" s="22" t="n">
        <v>0.34</v>
      </c>
      <c r="C67" s="9" t="n">
        <v>4770.97</v>
      </c>
      <c r="D67" s="9">
        <f>$B$47*B67/100*C67/1000000</f>
        <v/>
      </c>
      <c r="E67" s="8" t="inlineStr">
        <is>
          <t>rata-rata kelompok 'eropa'</t>
        </is>
      </c>
    </row>
    <row r="68">
      <c r="A68" s="8" t="inlineStr">
        <is>
          <t>Taiwan</t>
        </is>
      </c>
      <c r="B68" s="22" t="n">
        <v>0.93</v>
      </c>
      <c r="C68" s="9" t="n">
        <v>1554.34</v>
      </c>
      <c r="D68" s="9">
        <f>$B$47*B68/100*C68/1000000</f>
        <v/>
      </c>
      <c r="E68" s="8" t="inlineStr">
        <is>
          <t>rata-rata kelompok 'asia lainnya'</t>
        </is>
      </c>
    </row>
    <row r="69">
      <c r="A69" s="8" t="inlineStr">
        <is>
          <t>Rusia</t>
        </is>
      </c>
      <c r="B69" s="22" t="n">
        <v>0.14</v>
      </c>
      <c r="C69" s="9" t="n">
        <v>4770.97</v>
      </c>
      <c r="D69" s="9">
        <f>$B$47*B69/100*C69/1000000</f>
        <v/>
      </c>
      <c r="E69" s="8" t="inlineStr">
        <is>
          <t>rata-rata kelompok 'eropa'</t>
        </is>
      </c>
    </row>
    <row r="70">
      <c r="A70" s="8" t="inlineStr">
        <is>
          <t>Mesir</t>
        </is>
      </c>
      <c r="B70" s="22" t="n">
        <v>0.18</v>
      </c>
      <c r="C70" s="9" t="n">
        <v>3163.1</v>
      </c>
      <c r="D70" s="9">
        <f>$B$47*B70/100*C70/1000000</f>
        <v/>
      </c>
      <c r="E70" s="8" t="inlineStr">
        <is>
          <t>rata-rata kelompok 'timur tengah lainnya'</t>
        </is>
      </c>
    </row>
    <row r="71">
      <c r="A71" s="8" t="inlineStr">
        <is>
          <t>Selandia Baru</t>
        </is>
      </c>
      <c r="B71" s="22" t="n">
        <v>0.16</v>
      </c>
      <c r="C71" s="9" t="n">
        <v>3223.9</v>
      </c>
      <c r="D71" s="9">
        <f>$B$47*B71/100*C71/1000000</f>
        <v/>
      </c>
      <c r="E71" s="8" t="inlineStr">
        <is>
          <t>rata-rata kelompok 'lainnya'</t>
        </is>
      </c>
    </row>
    <row r="72">
      <c r="A72" s="8" t="inlineStr">
        <is>
          <t>Papua Nugini</t>
        </is>
      </c>
      <c r="B72" s="22" t="n">
        <v>0.15</v>
      </c>
      <c r="C72" s="9" t="n">
        <v>3223.9</v>
      </c>
      <c r="D72" s="9">
        <f>$B$47*B72/100*C72/1000000</f>
        <v/>
      </c>
      <c r="E72" s="8" t="inlineStr">
        <is>
          <t>rata-rata kelompok 'lainnya'</t>
        </is>
      </c>
    </row>
    <row r="73">
      <c r="A73" s="8" t="inlineStr">
        <is>
          <t>Kanada</t>
        </is>
      </c>
      <c r="B73" s="22" t="n">
        <v>0.15</v>
      </c>
      <c r="C73" s="9" t="n">
        <v>3223.9</v>
      </c>
      <c r="D73" s="9">
        <f>$B$47*B73/100*C73/1000000</f>
        <v/>
      </c>
      <c r="E73" s="8" t="inlineStr">
        <is>
          <t>rata-rata kelompok 'lainnya'</t>
        </is>
      </c>
    </row>
    <row r="74">
      <c r="A74" s="8" t="inlineStr">
        <is>
          <t>Brunei Darussalam</t>
        </is>
      </c>
      <c r="B74" s="22" t="n">
        <v>0.21</v>
      </c>
      <c r="C74" s="9" t="n">
        <v>1638.92</v>
      </c>
      <c r="D74" s="9">
        <f>$B$47*B74/100*C74/1000000</f>
        <v/>
      </c>
      <c r="E74" s="8" t="inlineStr">
        <is>
          <t>rata-rata kelompok 'asean lainnya'</t>
        </is>
      </c>
    </row>
    <row r="75">
      <c r="A75" s="8" t="inlineStr">
        <is>
          <t>India</t>
        </is>
      </c>
      <c r="B75" s="22" t="n">
        <v>0.16</v>
      </c>
      <c r="C75" s="9" t="n">
        <v>1554.34</v>
      </c>
      <c r="D75" s="9">
        <f>$B$47*B75/100*C75/1000000</f>
        <v/>
      </c>
      <c r="E75" s="8" t="inlineStr">
        <is>
          <t>rata-rata kelompok 'asia lainnya'</t>
        </is>
      </c>
    </row>
    <row r="76">
      <c r="A76" s="8" t="inlineStr">
        <is>
          <t>Afrika Selatan</t>
        </is>
      </c>
      <c r="B76" s="22" t="n">
        <v>0.06</v>
      </c>
      <c r="C76" s="9" t="n">
        <v>3223.9</v>
      </c>
      <c r="D76" s="9">
        <f>$B$47*B76/100*C76/1000000</f>
        <v/>
      </c>
      <c r="E76" s="8" t="inlineStr">
        <is>
          <t>rata-rata kelompok 'lainnya'</t>
        </is>
      </c>
    </row>
    <row r="77">
      <c r="A77" s="8" t="inlineStr">
        <is>
          <t>Brasil</t>
        </is>
      </c>
      <c r="B77" s="22" t="n">
        <v>0.05</v>
      </c>
      <c r="C77" s="9" t="n">
        <v>3223.9</v>
      </c>
      <c r="D77" s="9">
        <f>$B$47*B77/100*C77/1000000</f>
        <v/>
      </c>
      <c r="E77" s="8" t="inlineStr">
        <is>
          <t>rata-rata kelompok 'lainnya'</t>
        </is>
      </c>
    </row>
    <row r="78">
      <c r="A78" s="8" t="inlineStr">
        <is>
          <t>Meksiko</t>
        </is>
      </c>
      <c r="B78" s="22" t="n">
        <v>0.04</v>
      </c>
      <c r="C78" s="9" t="n">
        <v>3223.9</v>
      </c>
      <c r="D78" s="9">
        <f>$B$47*B78/100*C78/1000000</f>
        <v/>
      </c>
      <c r="E78" s="8" t="inlineStr">
        <is>
          <t>rata-rata kelompok 'lainnya'</t>
        </is>
      </c>
    </row>
    <row r="79">
      <c r="A79" s="8" t="inlineStr">
        <is>
          <t>Kuwait</t>
        </is>
      </c>
      <c r="B79" s="22" t="n">
        <v>0.03</v>
      </c>
      <c r="C79" s="9" t="n">
        <v>3163.1</v>
      </c>
      <c r="D79" s="9">
        <f>$B$47*B79/100*C79/1000000</f>
        <v/>
      </c>
      <c r="E79" s="8" t="inlineStr">
        <is>
          <t>rata-rata kelompok 'timur tengah lainnya'</t>
        </is>
      </c>
    </row>
    <row r="80">
      <c r="A80" s="8" t="inlineStr">
        <is>
          <t>Myanmar</t>
        </is>
      </c>
      <c r="B80" s="22" t="n">
        <v>0.03</v>
      </c>
      <c r="C80" s="9" t="n">
        <v>1638.92</v>
      </c>
      <c r="D80" s="9">
        <f>$B$47*B80/100*C80/1000000</f>
        <v/>
      </c>
      <c r="E80" s="8" t="inlineStr">
        <is>
          <t>rata-rata kelompok 'asean lainnya'</t>
        </is>
      </c>
    </row>
    <row r="81">
      <c r="A81" s="8" t="inlineStr">
        <is>
          <t>Yaman</t>
        </is>
      </c>
      <c r="B81" s="22" t="n">
        <v>0</v>
      </c>
      <c r="C81" s="9" t="n">
        <v>3163.1</v>
      </c>
      <c r="D81" s="9">
        <f>$B$47*B81/100*C81/1000000</f>
        <v/>
      </c>
      <c r="E81" s="8" t="inlineStr">
        <is>
          <t>rata-rata kelompok 'timur tengah lainnya'</t>
        </is>
      </c>
    </row>
    <row r="82">
      <c r="A82" s="8" t="inlineStr">
        <is>
          <t>ASEAN Lainnya/Other ASEAN (sisa)</t>
        </is>
      </c>
      <c r="B82" s="22" t="n">
        <v>3.71</v>
      </c>
      <c r="C82" s="9" t="n">
        <v>1638.92</v>
      </c>
      <c r="D82" s="9">
        <f>$B$47*B82/100*C82/1000000</f>
        <v/>
      </c>
      <c r="E82" s="8" t="inlineStr">
        <is>
          <t>rata-rata kelompok 'asean lainnya'</t>
        </is>
      </c>
    </row>
    <row r="83">
      <c r="A83" s="8" t="inlineStr">
        <is>
          <t>Asia Lainnya/Other Asia (sisa)</t>
        </is>
      </c>
      <c r="B83" s="22" t="n">
        <v>1.35</v>
      </c>
      <c r="C83" s="9" t="n">
        <v>1554.34</v>
      </c>
      <c r="D83" s="9">
        <f>$B$47*B83/100*C83/1000000</f>
        <v/>
      </c>
      <c r="E83" s="8" t="inlineStr">
        <is>
          <t>rata-rata kelompok 'asia lainnya'</t>
        </is>
      </c>
    </row>
    <row r="84">
      <c r="A84" s="8" t="inlineStr">
        <is>
          <t>Timur Tengah Lainnya/Other Middle East (sisa)</t>
        </is>
      </c>
      <c r="B84" s="22" t="n">
        <v>0.74</v>
      </c>
      <c r="C84" s="9" t="n">
        <v>3163.1</v>
      </c>
      <c r="D84" s="9">
        <f>$B$47*B84/100*C84/1000000</f>
        <v/>
      </c>
      <c r="E84" s="8" t="inlineStr">
        <is>
          <t>rata-rata kelompok 'timur tengah lainnya'</t>
        </is>
      </c>
    </row>
    <row r="85">
      <c r="A85" s="8" t="inlineStr">
        <is>
          <t>Eropa Lainnya/Other Eropa (sisa)</t>
        </is>
      </c>
      <c r="B85" s="22" t="n">
        <v>1.66</v>
      </c>
      <c r="C85" s="9" t="n">
        <v>4770.97</v>
      </c>
      <c r="D85" s="9">
        <f>$B$47*B85/100*C85/1000000</f>
        <v/>
      </c>
      <c r="E85" s="8" t="inlineStr">
        <is>
          <t>rata-rata kelompok 'eropa'</t>
        </is>
      </c>
    </row>
    <row r="86">
      <c r="A86" s="8" t="inlineStr">
        <is>
          <t>Amerika Lainnya/Other America (sisa)</t>
        </is>
      </c>
      <c r="B86" s="22" t="n">
        <v>0.1</v>
      </c>
      <c r="C86" s="9" t="n">
        <v>3223.9</v>
      </c>
      <c r="D86" s="9">
        <f>$B$47*B86/100*C86/1000000</f>
        <v/>
      </c>
      <c r="E86" s="8" t="inlineStr">
        <is>
          <t>rata-rata kelompok 'lainnya'</t>
        </is>
      </c>
    </row>
    <row r="87">
      <c r="A87" s="8" t="inlineStr">
        <is>
          <t>Oseania Lainnya/Other Oceania (sisa)</t>
        </is>
      </c>
      <c r="B87" s="22" t="n">
        <v>0.01</v>
      </c>
      <c r="C87" s="9" t="n">
        <v>3223.9</v>
      </c>
      <c r="D87" s="9">
        <f>$B$47*B87/100*C87/1000000</f>
        <v/>
      </c>
      <c r="E87" s="8" t="inlineStr">
        <is>
          <t>rata-rata kelompok 'lainnya'</t>
        </is>
      </c>
    </row>
    <row r="88">
      <c r="A88" s="8" t="inlineStr">
        <is>
          <t>Afrika Lainnya/Other Africa (sisa)</t>
        </is>
      </c>
      <c r="B88" s="22" t="n">
        <v>0.16</v>
      </c>
      <c r="C88" s="9" t="n">
        <v>3223.9</v>
      </c>
      <c r="D88" s="9">
        <f>$B$47*B88/100*C88/1000000</f>
        <v/>
      </c>
      <c r="E88" s="8" t="inlineStr">
        <is>
          <t>rata-rata kelompok 'lainnya'</t>
        </is>
      </c>
    </row>
    <row r="89">
      <c r="A89" s="23" t="inlineStr">
        <is>
          <t>Total</t>
        </is>
      </c>
      <c r="D89" s="24">
        <f>SUM(D50:D88)</f>
        <v/>
      </c>
    </row>
    <row r="90">
      <c r="A90" s="2" t="inlineStr">
        <is>
          <t>BPS hanya menerbitkan pengeluaran per perjalanan untuk 16 negara/kelompok; negara lain memakai rata-rata kelompoknya. Paket wisata (mis. umrah) bisa ikut memuat tiket pesawat.</t>
        </is>
      </c>
    </row>
    <row r="91">
      <c r="A91" s="5" t="inlineStr">
        <is>
          <t>Sumber: BPS Statistik Wisatawan Nasional (Lampiran 4 &amp; 20)</t>
        </is>
      </c>
    </row>
  </sheetData>
  <hyperlinks>
    <hyperlink xmlns:r="http://schemas.openxmlformats.org/officeDocument/2006/relationships" ref="A43" r:id="rId1"/>
    <hyperlink xmlns:r="http://schemas.openxmlformats.org/officeDocument/2006/relationships" ref="A91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20" customWidth="1" min="7" max="7"/>
    <col width="10" customWidth="1" min="8" max="8"/>
  </cols>
  <sheetData>
    <row r="1">
      <c r="A1" s="1" t="inlineStr">
        <is>
          <t>Pembanding: laporan negara mitra ke OECD, 2024 (USD juta)</t>
        </is>
      </c>
    </row>
    <row r="2">
      <c r="A2" s="2" t="inlineStr">
        <is>
          <t>Angka dilaporkan negara pelapor dari sisi mereka, lalu dibalik ke sisi Indonesia: impor jasa perjalanan negara pelapor (belanja warganya di Indonesia) = kredit Indonesia, dan sebaliknya.</t>
        </is>
      </c>
    </row>
    <row r="3">
      <c r="A3" s="3" t="inlineStr">
        <is>
          <t>Label abu-abu di bawah judul kolom → GIVEN: diambil apa adanya dari sumber · DIHITUNG SENDIRI: kami hitung, caranya tertulis · ASUMSI SENDIRI: pilihan kami karena sumber tidak menyediakan angkanya.</t>
        </is>
      </c>
    </row>
    <row r="4" ht="48" customHeight="1">
      <c r="A4" s="6" t="inlineStr">
        <is>
          <t>Negara pelapor</t>
        </is>
      </c>
      <c r="B4" s="6" t="inlineStr">
        <is>
          <t>Kredit Indonesia
(belanja warga negara ini di Indonesia)</t>
        </is>
      </c>
      <c r="C4" s="6" t="inlineStr">
        <is>
          <t>Debit Indonesia
(belanja penduduk Indonesia di negara ini)</t>
        </is>
      </c>
      <c r="D4" s="6" t="inlineStr">
        <is>
          <t>Neraca Indonesia
(kredit − debit)</t>
        </is>
      </c>
      <c r="G4" s="4" t="inlineStr">
        <is>
          <t>Data grafik: Top 5, 2024, USD juta (salinan dari tabel utama)</t>
        </is>
      </c>
    </row>
    <row r="5" ht="18" customHeight="1">
      <c r="A5" s="7" t="n"/>
      <c r="B5" s="7" t="inlineStr">
        <is>
          <t>GIVEN · mirroring: = debit (impor) negara pelapor, nilai tidak diubah</t>
        </is>
      </c>
      <c r="C5" s="7" t="inlineStr">
        <is>
          <t>GIVEN · mirroring: = kredit (ekspor) negara pelapor, nilai tidak diubah</t>
        </is>
      </c>
      <c r="D5" s="7" t="inlineStr">
        <is>
          <t>DIHITUNG SENDIRI · mirroring: neraca negara pelapor × (−1)</t>
        </is>
      </c>
      <c r="G5" s="6" t="inlineStr">
        <is>
          <t>Negara</t>
        </is>
      </c>
      <c r="H5" s="6" t="inlineStr">
        <is>
          <t>Kredit</t>
        </is>
      </c>
    </row>
    <row r="6">
      <c r="A6" s="8" t="inlineStr">
        <is>
          <t>Australia</t>
        </is>
      </c>
      <c r="B6" s="9" t="n">
        <v>6746.3</v>
      </c>
      <c r="C6" s="9" t="n">
        <v>1529</v>
      </c>
      <c r="D6" s="9" t="n">
        <v>5217.2</v>
      </c>
      <c r="G6" s="8" t="inlineStr">
        <is>
          <t>Australia</t>
        </is>
      </c>
      <c r="H6" s="10" t="n">
        <v>6746.3</v>
      </c>
    </row>
    <row r="7">
      <c r="A7" s="8" t="inlineStr">
        <is>
          <t>Belanda</t>
        </is>
      </c>
      <c r="B7" s="9" t="n">
        <v>277.6</v>
      </c>
      <c r="C7" s="9" t="n">
        <v>67.2</v>
      </c>
      <c r="D7" s="9" t="n">
        <v>210.3</v>
      </c>
      <c r="G7" s="8" t="inlineStr">
        <is>
          <t>Amerika Serikat</t>
        </is>
      </c>
      <c r="H7" s="10" t="n">
        <v>868</v>
      </c>
    </row>
    <row r="8">
      <c r="A8" s="8" t="inlineStr">
        <is>
          <t>Italia</t>
        </is>
      </c>
      <c r="B8" s="9" t="n">
        <v>250</v>
      </c>
      <c r="C8" s="9" t="n">
        <v>51</v>
      </c>
      <c r="D8" s="9" t="n">
        <v>199</v>
      </c>
      <c r="G8" s="8" t="inlineStr">
        <is>
          <t>Inggris</t>
        </is>
      </c>
      <c r="H8" s="10" t="n">
        <v>397.5</v>
      </c>
    </row>
    <row r="9">
      <c r="A9" s="8" t="inlineStr">
        <is>
          <t>Amerika Serikat</t>
        </is>
      </c>
      <c r="B9" s="9" t="n">
        <v>868</v>
      </c>
      <c r="C9" s="9" t="n">
        <v>761</v>
      </c>
      <c r="D9" s="9" t="n">
        <v>107</v>
      </c>
      <c r="G9" s="8" t="inlineStr">
        <is>
          <t>Jepang</t>
        </is>
      </c>
      <c r="H9" s="10" t="n">
        <v>324</v>
      </c>
    </row>
    <row r="10">
      <c r="A10" s="8" t="inlineStr">
        <is>
          <t>Prancis</t>
        </is>
      </c>
      <c r="B10" s="9" t="n">
        <v>247.9</v>
      </c>
      <c r="C10" s="9" t="n">
        <v>145</v>
      </c>
      <c r="D10" s="9" t="n">
        <v>101.7</v>
      </c>
      <c r="G10" s="8" t="inlineStr">
        <is>
          <t>Belanda</t>
        </is>
      </c>
      <c r="H10" s="10" t="n">
        <v>277.6</v>
      </c>
    </row>
    <row r="11">
      <c r="A11" s="8" t="inlineStr">
        <is>
          <t>Selandia Baru</t>
        </is>
      </c>
      <c r="B11" s="9" t="n">
        <v>151.2</v>
      </c>
      <c r="C11" s="9" t="n">
        <v>86.2</v>
      </c>
      <c r="D11" s="9" t="n">
        <v>65</v>
      </c>
    </row>
    <row r="12">
      <c r="A12" s="8" t="inlineStr">
        <is>
          <t>Finlandia</t>
        </is>
      </c>
      <c r="B12" s="9" t="n">
        <v>79</v>
      </c>
      <c r="C12" s="9" t="n">
        <v>14.1</v>
      </c>
      <c r="D12" s="9" t="n">
        <v>63.9</v>
      </c>
    </row>
    <row r="13" ht="18" customHeight="1">
      <c r="A13" s="8" t="inlineStr">
        <is>
          <t>Denmark</t>
        </is>
      </c>
      <c r="B13" s="9" t="n">
        <v>60.2</v>
      </c>
      <c r="C13" s="9" t="n">
        <v>4.3</v>
      </c>
      <c r="D13" s="9" t="n">
        <v>55.8</v>
      </c>
      <c r="G13" s="6" t="inlineStr">
        <is>
          <t>Negara</t>
        </is>
      </c>
      <c r="H13" s="6" t="inlineStr">
        <is>
          <t>Debit</t>
        </is>
      </c>
    </row>
    <row r="14">
      <c r="A14" s="8" t="inlineStr">
        <is>
          <t>Inggris</t>
        </is>
      </c>
      <c r="B14" s="9" t="n">
        <v>397.5</v>
      </c>
      <c r="C14" s="9" t="n">
        <v>345.1</v>
      </c>
      <c r="D14" s="9" t="n">
        <v>52.4</v>
      </c>
      <c r="G14" s="8" t="inlineStr">
        <is>
          <t>Australia</t>
        </is>
      </c>
      <c r="H14" s="10" t="n">
        <v>1529</v>
      </c>
    </row>
    <row r="15">
      <c r="A15" s="8" t="inlineStr">
        <is>
          <t>Swedia</t>
        </is>
      </c>
      <c r="B15" s="9" t="n">
        <v>52.3</v>
      </c>
      <c r="C15" s="9" t="n"/>
      <c r="D15" s="9" t="n">
        <v>52.3</v>
      </c>
      <c r="G15" s="8" t="inlineStr">
        <is>
          <t>Jepang</t>
        </is>
      </c>
      <c r="H15" s="10" t="n">
        <v>784.4</v>
      </c>
    </row>
    <row r="16">
      <c r="A16" s="8" t="inlineStr">
        <is>
          <t>Austria</t>
        </is>
      </c>
      <c r="B16" s="9" t="n">
        <v>55.2</v>
      </c>
      <c r="C16" s="9" t="n">
        <v>8.699999999999999</v>
      </c>
      <c r="D16" s="9" t="n">
        <v>46.5</v>
      </c>
      <c r="G16" s="8" t="inlineStr">
        <is>
          <t>Amerika Serikat</t>
        </is>
      </c>
      <c r="H16" s="10" t="n">
        <v>761</v>
      </c>
    </row>
    <row r="17">
      <c r="A17" s="8" t="inlineStr">
        <is>
          <t>Belgia</t>
        </is>
      </c>
      <c r="B17" s="9" t="n">
        <v>35.7</v>
      </c>
      <c r="C17" s="9" t="n">
        <v>4.3</v>
      </c>
      <c r="D17" s="9" t="n">
        <v>31.4</v>
      </c>
      <c r="G17" s="8" t="inlineStr">
        <is>
          <t>Inggris</t>
        </is>
      </c>
      <c r="H17" s="10" t="n">
        <v>345.1</v>
      </c>
    </row>
    <row r="18">
      <c r="A18" s="8" t="inlineStr">
        <is>
          <t>Luksemburg</t>
        </is>
      </c>
      <c r="B18" s="9" t="n">
        <v>11.9</v>
      </c>
      <c r="C18" s="9" t="n">
        <v>1.1</v>
      </c>
      <c r="D18" s="9" t="n">
        <v>11.9</v>
      </c>
      <c r="G18" s="8" t="inlineStr">
        <is>
          <t>Prancis</t>
        </is>
      </c>
      <c r="H18" s="10" t="n">
        <v>145</v>
      </c>
    </row>
    <row r="19">
      <c r="A19" s="8" t="inlineStr">
        <is>
          <t>Rumania</t>
        </is>
      </c>
      <c r="B19" s="9" t="n">
        <v>10.7</v>
      </c>
      <c r="C19" s="9" t="n">
        <v>1.7</v>
      </c>
      <c r="D19" s="9" t="n">
        <v>8.9</v>
      </c>
    </row>
    <row r="20">
      <c r="A20" s="8" t="inlineStr">
        <is>
          <t>Kroasia</t>
        </is>
      </c>
      <c r="B20" s="9" t="n">
        <v>8.300000000000001</v>
      </c>
      <c r="C20" s="9" t="n">
        <v>0.2</v>
      </c>
      <c r="D20" s="9" t="n">
        <v>8.1</v>
      </c>
    </row>
    <row r="21" ht="18" customHeight="1">
      <c r="A21" s="8" t="inlineStr">
        <is>
          <t>Yunani</t>
        </is>
      </c>
      <c r="B21" s="9" t="n">
        <v>8</v>
      </c>
      <c r="C21" s="9" t="n">
        <v>0.6</v>
      </c>
      <c r="D21" s="9" t="n">
        <v>7.4</v>
      </c>
      <c r="G21" s="6" t="inlineStr">
        <is>
          <t>Negara</t>
        </is>
      </c>
      <c r="H21" s="6" t="inlineStr">
        <is>
          <t>Neraca</t>
        </is>
      </c>
    </row>
    <row r="22">
      <c r="A22" s="8" t="inlineStr">
        <is>
          <t>Hungaria</t>
        </is>
      </c>
      <c r="B22" s="9" t="n">
        <v>5.9</v>
      </c>
      <c r="C22" s="9" t="n">
        <v>0.4</v>
      </c>
      <c r="D22" s="9" t="n">
        <v>5.5</v>
      </c>
      <c r="G22" s="8" t="inlineStr">
        <is>
          <t>Australia</t>
        </is>
      </c>
      <c r="H22" s="10" t="n">
        <v>5217.2</v>
      </c>
    </row>
    <row r="23">
      <c r="A23" s="8" t="inlineStr">
        <is>
          <t>Estonia</t>
        </is>
      </c>
      <c r="B23" s="9" t="n">
        <v>5.4</v>
      </c>
      <c r="C23" s="9" t="n">
        <v>1</v>
      </c>
      <c r="D23" s="9" t="n">
        <v>4.4</v>
      </c>
      <c r="G23" s="8" t="inlineStr">
        <is>
          <t>Belanda</t>
        </is>
      </c>
      <c r="H23" s="10" t="n">
        <v>210.3</v>
      </c>
    </row>
    <row r="24">
      <c r="A24" s="8" t="inlineStr">
        <is>
          <t>Latvia</t>
        </is>
      </c>
      <c r="B24" s="9" t="n">
        <v>3.2</v>
      </c>
      <c r="C24" s="9" t="n"/>
      <c r="D24" s="9" t="n">
        <v>3.2</v>
      </c>
      <c r="G24" s="8" t="inlineStr">
        <is>
          <t>Italia</t>
        </is>
      </c>
      <c r="H24" s="10" t="n">
        <v>199</v>
      </c>
    </row>
    <row r="25">
      <c r="A25" s="8" t="inlineStr">
        <is>
          <t>Lituania</t>
        </is>
      </c>
      <c r="B25" s="9" t="n">
        <v>0.8</v>
      </c>
      <c r="C25" s="9" t="n">
        <v>0.4</v>
      </c>
      <c r="D25" s="9" t="n">
        <v>0.3</v>
      </c>
      <c r="G25" s="8" t="inlineStr">
        <is>
          <t>Amerika Serikat</t>
        </is>
      </c>
      <c r="H25" s="10" t="n">
        <v>107</v>
      </c>
    </row>
    <row r="26">
      <c r="A26" s="8" t="inlineStr">
        <is>
          <t>Slovenia</t>
        </is>
      </c>
      <c r="B26" s="9" t="n">
        <v>0.4</v>
      </c>
      <c r="C26" s="9" t="n">
        <v>0.1</v>
      </c>
      <c r="D26" s="9" t="n">
        <v>0.3</v>
      </c>
      <c r="G26" s="8" t="inlineStr">
        <is>
          <t>Prancis</t>
        </is>
      </c>
      <c r="H26" s="10" t="n">
        <v>101.7</v>
      </c>
    </row>
    <row r="27">
      <c r="A27" s="8" t="inlineStr">
        <is>
          <t>Islandia</t>
        </is>
      </c>
      <c r="B27" s="9" t="n">
        <v>2.8</v>
      </c>
      <c r="C27" s="9" t="n">
        <v>2.8</v>
      </c>
      <c r="D27" s="9" t="n">
        <v>0.1</v>
      </c>
      <c r="G27" s="8" t="inlineStr">
        <is>
          <t>Ceko</t>
        </is>
      </c>
      <c r="H27" s="10" t="n">
        <v>-0.9</v>
      </c>
    </row>
    <row r="28">
      <c r="A28" s="8" t="inlineStr">
        <is>
          <t>Slowakia</t>
        </is>
      </c>
      <c r="B28" s="9" t="n">
        <v>0.1</v>
      </c>
      <c r="C28" s="9" t="n">
        <v>0.3</v>
      </c>
      <c r="D28" s="9" t="n">
        <v>-0.2</v>
      </c>
      <c r="G28" s="8" t="inlineStr">
        <is>
          <t>Polandia</t>
        </is>
      </c>
      <c r="H28" s="10" t="n">
        <v>-1.7</v>
      </c>
    </row>
    <row r="29">
      <c r="A29" s="8" t="inlineStr">
        <is>
          <t>Ceko</t>
        </is>
      </c>
      <c r="B29" s="9" t="n">
        <v>0.4</v>
      </c>
      <c r="C29" s="9" t="n">
        <v>1.3</v>
      </c>
      <c r="D29" s="9" t="n">
        <v>-0.9</v>
      </c>
      <c r="G29" s="8" t="inlineStr">
        <is>
          <t>Bulgaria</t>
        </is>
      </c>
      <c r="H29" s="10" t="n">
        <v>-4.1</v>
      </c>
    </row>
    <row r="30">
      <c r="A30" s="8" t="inlineStr">
        <is>
          <t>Polandia</t>
        </is>
      </c>
      <c r="B30" s="9" t="n">
        <v>12.8</v>
      </c>
      <c r="C30" s="9" t="n">
        <v>14.3</v>
      </c>
      <c r="D30" s="9" t="n">
        <v>-1.7</v>
      </c>
      <c r="G30" s="8" t="inlineStr">
        <is>
          <t>Kanada</t>
        </is>
      </c>
      <c r="H30" s="10" t="n">
        <v>-14.6</v>
      </c>
    </row>
    <row r="31">
      <c r="A31" s="8" t="inlineStr">
        <is>
          <t>Bulgaria</t>
        </is>
      </c>
      <c r="B31" s="9" t="n">
        <v>0.2</v>
      </c>
      <c r="C31" s="9" t="n">
        <v>4.2</v>
      </c>
      <c r="D31" s="9" t="n">
        <v>-4.1</v>
      </c>
      <c r="G31" s="8" t="inlineStr">
        <is>
          <t>Jepang</t>
        </is>
      </c>
      <c r="H31" s="10" t="n">
        <v>-460.4</v>
      </c>
    </row>
    <row r="32">
      <c r="A32" s="8" t="inlineStr">
        <is>
          <t>Kanada</t>
        </is>
      </c>
      <c r="B32" s="9" t="n">
        <v>101.5</v>
      </c>
      <c r="C32" s="9" t="n">
        <v>116.1</v>
      </c>
      <c r="D32" s="9" t="n">
        <v>-14.6</v>
      </c>
    </row>
    <row r="33">
      <c r="A33" s="8" t="inlineStr">
        <is>
          <t>Jepang</t>
        </is>
      </c>
      <c r="B33" s="9" t="n">
        <v>324</v>
      </c>
      <c r="C33" s="9" t="n">
        <v>784.4</v>
      </c>
      <c r="D33" s="9" t="n">
        <v>-460.4</v>
      </c>
    </row>
    <row r="34">
      <c r="A34" s="8" t="inlineStr">
        <is>
          <t>Argentina</t>
        </is>
      </c>
      <c r="B34" s="9" t="n"/>
      <c r="C34" s="9" t="n">
        <v>3.6</v>
      </c>
      <c r="D34" s="9" t="n"/>
    </row>
    <row r="36">
      <c r="A36" s="5" t="inlineStr">
        <is>
          <t>Sumber: OECD International Trade in Services</t>
        </is>
      </c>
    </row>
  </sheetData>
  <hyperlinks>
    <hyperlink xmlns:r="http://schemas.openxmlformats.org/officeDocument/2006/relationships" ref="A36" r:id="rId1"/>
  </hyperlinks>
  <pageMargins left="0.75" right="0.75" top="1" bottom="1" header="0.5" footer="0.5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20" customWidth="1" min="10" max="10"/>
    <col width="10" customWidth="1" min="11" max="11"/>
  </cols>
  <sheetData>
    <row r="1">
      <c r="A1" s="1" t="inlineStr">
        <is>
          <t>Pembanding: laporan negara Eropa ke Eurostat, 2024</t>
        </is>
      </c>
    </row>
    <row r="2">
      <c r="A2" s="2" t="inlineStr">
        <is>
          <t>Sudah dibalik ke sisi Indonesia. EUR juta sesuai sumber; USD juta memakai kurs rata-rata Bank Dunia.</t>
        </is>
      </c>
    </row>
    <row r="3">
      <c r="A3" s="3" t="inlineStr">
        <is>
          <t>Label abu-abu di bawah judul kolom → GIVEN: diambil apa adanya dari sumber · DIHITUNG SENDIRI: kami hitung, caranya tertulis · ASUMSI SENDIRI: pilihan kami karena sumber tidak menyediakan angkanya.</t>
        </is>
      </c>
    </row>
    <row r="4" ht="60" customHeight="1">
      <c r="A4" s="6" t="inlineStr">
        <is>
          <t>Negara pelapor</t>
        </is>
      </c>
      <c r="B4" s="6" t="inlineStr">
        <is>
          <t>Kredit Indonesia (EUR juta)</t>
        </is>
      </c>
      <c r="C4" s="6" t="inlineStr">
        <is>
          <t>Debit Indonesia (EUR juta)</t>
        </is>
      </c>
      <c r="D4" s="6" t="inlineStr">
        <is>
          <t>Neraca Indonesia (EUR juta)</t>
        </is>
      </c>
      <c r="E4" s="6" t="inlineStr">
        <is>
          <t>Kredit Indonesia
(belanja warga negara ini di Indonesia) USD juta</t>
        </is>
      </c>
      <c r="F4" s="6" t="inlineStr">
        <is>
          <t>Debit Indonesia
(belanja penduduk Indonesia di negara ini) USD juta</t>
        </is>
      </c>
      <c r="G4" s="6" t="inlineStr">
        <is>
          <t>Neraca Indonesia
(kredit − debit) USD juta</t>
        </is>
      </c>
      <c r="J4" s="4" t="inlineStr">
        <is>
          <t>Data grafik: Top 5, 2024, USD juta (salinan dari tabel utama)</t>
        </is>
      </c>
    </row>
    <row r="5" ht="18" customHeight="1">
      <c r="A5" s="7" t="n"/>
      <c r="B5" s="7" t="inlineStr">
        <is>
          <t>GIVEN · mirroring: = debit negara pelapor</t>
        </is>
      </c>
      <c r="C5" s="7" t="inlineStr">
        <is>
          <t>GIVEN · mirroring: = kredit negara pelapor</t>
        </is>
      </c>
      <c r="D5" s="7" t="inlineStr">
        <is>
          <t>DIHITUNG SENDIRI · mirroring: neraca pelapor × (−1)</t>
        </is>
      </c>
      <c r="E5" s="7" t="inlineStr">
        <is>
          <t>DIHITUNG SENDIRI: EUR ÷ 0.9239 (kurs EUR per USD 2024, Bank Dunia)</t>
        </is>
      </c>
      <c r="F5" s="7" t="inlineStr">
        <is>
          <t>DIHITUNG SENDIRI: EUR ÷ 0.9239 (kurs EUR per USD 2024, Bank Dunia)</t>
        </is>
      </c>
      <c r="G5" s="7" t="inlineStr">
        <is>
          <t>DIHITUNG SENDIRI: EUR ÷ 0.9239 (kurs EUR per USD 2024, Bank Dunia)</t>
        </is>
      </c>
      <c r="J5" s="6" t="inlineStr">
        <is>
          <t>Negara</t>
        </is>
      </c>
      <c r="K5" s="6" t="inlineStr">
        <is>
          <t>Kredit</t>
        </is>
      </c>
    </row>
    <row r="6">
      <c r="A6" s="8" t="inlineStr">
        <is>
          <t>Jerman</t>
        </is>
      </c>
      <c r="B6" s="9" t="n">
        <v>437</v>
      </c>
      <c r="C6" s="9" t="n">
        <v>22</v>
      </c>
      <c r="D6" s="9" t="n">
        <v>415</v>
      </c>
      <c r="E6" s="9" t="n">
        <v>473.0002648437504</v>
      </c>
      <c r="F6" s="9" t="n">
        <v>23.81237031250002</v>
      </c>
      <c r="G6" s="9" t="n">
        <v>449.1878945312504</v>
      </c>
      <c r="J6" s="8" t="inlineStr">
        <is>
          <t>Jerman</t>
        </is>
      </c>
      <c r="K6" s="10" t="n">
        <v>473.0002648437504</v>
      </c>
    </row>
    <row r="7">
      <c r="A7" s="8" t="inlineStr">
        <is>
          <t>Belanda</t>
        </is>
      </c>
      <c r="B7" s="9" t="n">
        <v>256.5</v>
      </c>
      <c r="C7" s="9" t="n">
        <v>62.1</v>
      </c>
      <c r="D7" s="9" t="n">
        <v>194.3</v>
      </c>
      <c r="E7" s="9" t="n">
        <v>277.6305902343752</v>
      </c>
      <c r="F7" s="9" t="n">
        <v>67.21582710937506</v>
      </c>
      <c r="G7" s="9" t="n">
        <v>210.3065250781252</v>
      </c>
      <c r="J7" s="8" t="inlineStr">
        <is>
          <t>Belanda</t>
        </is>
      </c>
      <c r="K7" s="10" t="n">
        <v>277.6305902343752</v>
      </c>
    </row>
    <row r="8">
      <c r="A8" s="8" t="inlineStr">
        <is>
          <t>Italia</t>
        </is>
      </c>
      <c r="B8" s="9" t="n">
        <v>231</v>
      </c>
      <c r="C8" s="9" t="n">
        <v>47.1</v>
      </c>
      <c r="D8" s="9" t="n">
        <v>183.9</v>
      </c>
      <c r="E8" s="9" t="n">
        <v>250.0298882812502</v>
      </c>
      <c r="F8" s="9" t="n">
        <v>50.98012007812505</v>
      </c>
      <c r="G8" s="9" t="n">
        <v>199.0497682031252</v>
      </c>
      <c r="J8" s="8" t="inlineStr">
        <is>
          <t>Italia</t>
        </is>
      </c>
      <c r="K8" s="10" t="n">
        <v>250.0298882812502</v>
      </c>
    </row>
    <row r="9">
      <c r="A9" s="8" t="inlineStr">
        <is>
          <t>Prancis</t>
        </is>
      </c>
      <c r="B9" s="9" t="n">
        <v>229</v>
      </c>
      <c r="C9" s="9" t="n">
        <v>134</v>
      </c>
      <c r="D9" s="9" t="n">
        <v>94</v>
      </c>
      <c r="E9" s="9" t="n">
        <v>247.8651273437502</v>
      </c>
      <c r="F9" s="9" t="n">
        <v>145.0389828125001</v>
      </c>
      <c r="G9" s="9" t="n">
        <v>101.7437640625001</v>
      </c>
      <c r="J9" s="8" t="inlineStr">
        <is>
          <t>Prancis</t>
        </is>
      </c>
      <c r="K9" s="10" t="n">
        <v>247.8651273437502</v>
      </c>
    </row>
    <row r="10">
      <c r="A10" s="8" t="inlineStr">
        <is>
          <t>Finlandia</t>
        </is>
      </c>
      <c r="B10" s="9" t="n">
        <v>73</v>
      </c>
      <c r="C10" s="9" t="n">
        <v>13</v>
      </c>
      <c r="D10" s="9" t="n">
        <v>59</v>
      </c>
      <c r="E10" s="9" t="n">
        <v>79.01377421875007</v>
      </c>
      <c r="F10" s="9" t="n">
        <v>14.07094609375001</v>
      </c>
      <c r="G10" s="9" t="n">
        <v>63.86044765625006</v>
      </c>
      <c r="J10" s="8" t="inlineStr">
        <is>
          <t>Finlandia</t>
        </is>
      </c>
      <c r="K10" s="10" t="n">
        <v>79.01377421875007</v>
      </c>
    </row>
    <row r="11">
      <c r="A11" s="8" t="inlineStr">
        <is>
          <t>Denmark</t>
        </is>
      </c>
      <c r="B11" s="9" t="n">
        <v>55.6</v>
      </c>
      <c r="C11" s="9" t="n">
        <v>4</v>
      </c>
      <c r="D11" s="9" t="n">
        <v>51.6</v>
      </c>
      <c r="E11" s="9" t="n">
        <v>60.18035406250006</v>
      </c>
      <c r="F11" s="9" t="n">
        <v>4.329521875000004</v>
      </c>
      <c r="G11" s="9" t="n">
        <v>55.85083218750005</v>
      </c>
    </row>
    <row r="12">
      <c r="A12" s="8" t="inlineStr">
        <is>
          <t>Swedia</t>
        </is>
      </c>
      <c r="B12" s="9" t="n">
        <v>48.3</v>
      </c>
      <c r="C12" s="9" t="n">
        <v>0</v>
      </c>
      <c r="D12" s="9" t="n">
        <v>48.3</v>
      </c>
      <c r="E12" s="9" t="n">
        <v>52.27897664062505</v>
      </c>
      <c r="F12" s="9" t="n">
        <v>0</v>
      </c>
      <c r="G12" s="9" t="n">
        <v>52.27897664062505</v>
      </c>
    </row>
    <row r="13" ht="18" customHeight="1">
      <c r="A13" s="8" t="inlineStr">
        <is>
          <t>Austria</t>
        </is>
      </c>
      <c r="B13" s="9" t="n">
        <v>51</v>
      </c>
      <c r="C13" s="9" t="n">
        <v>8</v>
      </c>
      <c r="D13" s="9" t="n">
        <v>43</v>
      </c>
      <c r="E13" s="9" t="n">
        <v>55.20140390625005</v>
      </c>
      <c r="F13" s="9" t="n">
        <v>8.659043750000007</v>
      </c>
      <c r="G13" s="9" t="n">
        <v>46.54236015625004</v>
      </c>
      <c r="J13" s="6" t="inlineStr">
        <is>
          <t>Negara</t>
        </is>
      </c>
      <c r="K13" s="6" t="inlineStr">
        <is>
          <t>Debit</t>
        </is>
      </c>
    </row>
    <row r="14">
      <c r="A14" s="8" t="inlineStr">
        <is>
          <t>Belgia</t>
        </is>
      </c>
      <c r="B14" s="9" t="n">
        <v>33</v>
      </c>
      <c r="C14" s="9" t="n">
        <v>4</v>
      </c>
      <c r="D14" s="9" t="n">
        <v>29</v>
      </c>
      <c r="E14" s="9" t="n">
        <v>35.71855546875003</v>
      </c>
      <c r="F14" s="9" t="n">
        <v>4.329521875000004</v>
      </c>
      <c r="G14" s="9" t="n">
        <v>31.38903359375003</v>
      </c>
      <c r="J14" s="8" t="inlineStr">
        <is>
          <t>Prancis</t>
        </is>
      </c>
      <c r="K14" s="10" t="n">
        <v>145.0389828125001</v>
      </c>
    </row>
    <row r="15">
      <c r="A15" s="8" t="inlineStr">
        <is>
          <t>Luksemburg</t>
        </is>
      </c>
      <c r="B15" s="9" t="n">
        <v>11</v>
      </c>
      <c r="C15" s="9" t="n">
        <v>1</v>
      </c>
      <c r="D15" s="9" t="n">
        <v>11</v>
      </c>
      <c r="E15" s="9" t="n">
        <v>11.90618515625001</v>
      </c>
      <c r="F15" s="9" t="n">
        <v>1.082380468750001</v>
      </c>
      <c r="G15" s="9" t="n">
        <v>11.90618515625001</v>
      </c>
      <c r="J15" s="8" t="inlineStr">
        <is>
          <t>Belanda</t>
        </is>
      </c>
      <c r="K15" s="10" t="n">
        <v>67.21582710937506</v>
      </c>
    </row>
    <row r="16">
      <c r="A16" s="8" t="inlineStr">
        <is>
          <t>Rumania</t>
        </is>
      </c>
      <c r="B16" s="9" t="n">
        <v>9.9</v>
      </c>
      <c r="C16" s="9" t="n">
        <v>1.6</v>
      </c>
      <c r="D16" s="9" t="n">
        <v>8.199999999999999</v>
      </c>
      <c r="E16" s="9" t="n">
        <v>10.71556664062501</v>
      </c>
      <c r="F16" s="9" t="n">
        <v>1.731808750000002</v>
      </c>
      <c r="G16" s="9" t="n">
        <v>8.875519843750007</v>
      </c>
      <c r="J16" s="8" t="inlineStr">
        <is>
          <t>Italia</t>
        </is>
      </c>
      <c r="K16" s="10" t="n">
        <v>50.98012007812505</v>
      </c>
    </row>
    <row r="17">
      <c r="A17" s="8" t="inlineStr">
        <is>
          <t>Kroasia</t>
        </is>
      </c>
      <c r="B17" s="9" t="n">
        <v>7.7</v>
      </c>
      <c r="C17" s="9" t="n">
        <v>0.2</v>
      </c>
      <c r="D17" s="9" t="n">
        <v>7.5</v>
      </c>
      <c r="E17" s="9" t="n">
        <v>8.334329609375008</v>
      </c>
      <c r="F17" s="9" t="n">
        <v>0.2164760937500002</v>
      </c>
      <c r="G17" s="9" t="n">
        <v>8.117853515625008</v>
      </c>
      <c r="J17" s="8" t="inlineStr">
        <is>
          <t>Jerman</t>
        </is>
      </c>
      <c r="K17" s="10" t="n">
        <v>23.81237031250002</v>
      </c>
    </row>
    <row r="18">
      <c r="A18" s="8" t="inlineStr">
        <is>
          <t>Yunani</t>
        </is>
      </c>
      <c r="B18" s="9" t="n">
        <v>7.4</v>
      </c>
      <c r="C18" s="9" t="n">
        <v>0.6</v>
      </c>
      <c r="D18" s="9" t="n">
        <v>6.8</v>
      </c>
      <c r="E18" s="9" t="n">
        <v>8.009615468750008</v>
      </c>
      <c r="F18" s="9" t="n">
        <v>0.6494282812500005</v>
      </c>
      <c r="G18" s="9" t="n">
        <v>7.360187187500006</v>
      </c>
      <c r="J18" s="8" t="inlineStr">
        <is>
          <t>Polandia</t>
        </is>
      </c>
      <c r="K18" s="10" t="n">
        <v>14.28742218750001</v>
      </c>
    </row>
    <row r="19">
      <c r="A19" s="8" t="inlineStr">
        <is>
          <t>Hungaria</t>
        </is>
      </c>
      <c r="B19" s="9" t="n">
        <v>5.5</v>
      </c>
      <c r="C19" s="9" t="n">
        <v>0.4</v>
      </c>
      <c r="D19" s="9" t="n">
        <v>5.1</v>
      </c>
      <c r="E19" s="9" t="n">
        <v>5.953092578125005</v>
      </c>
      <c r="F19" s="9" t="n">
        <v>0.4329521875000004</v>
      </c>
      <c r="G19" s="9" t="n">
        <v>5.520140390625005</v>
      </c>
    </row>
    <row r="20">
      <c r="A20" s="8" t="inlineStr">
        <is>
          <t>Estonia</t>
        </is>
      </c>
      <c r="B20" s="9" t="n">
        <v>5</v>
      </c>
      <c r="C20" s="9" t="n">
        <v>0.9</v>
      </c>
      <c r="D20" s="9" t="n">
        <v>4.1</v>
      </c>
      <c r="E20" s="9" t="n">
        <v>5.411902343750005</v>
      </c>
      <c r="F20" s="9" t="n">
        <v>0.9741424218750009</v>
      </c>
      <c r="G20" s="9" t="n">
        <v>4.437759921875004</v>
      </c>
    </row>
    <row r="21" ht="18" customHeight="1">
      <c r="A21" s="8" t="inlineStr">
        <is>
          <t>Latvia</t>
        </is>
      </c>
      <c r="B21" s="9" t="n">
        <v>3</v>
      </c>
      <c r="C21" s="9" t="n">
        <v>0</v>
      </c>
      <c r="D21" s="9" t="n">
        <v>3</v>
      </c>
      <c r="E21" s="9" t="n">
        <v>3.247141406250003</v>
      </c>
      <c r="F21" s="9" t="n">
        <v>0</v>
      </c>
      <c r="G21" s="9" t="n">
        <v>3.247141406250003</v>
      </c>
      <c r="J21" s="6" t="inlineStr">
        <is>
          <t>Negara</t>
        </is>
      </c>
      <c r="K21" s="6" t="inlineStr">
        <is>
          <t>Neraca</t>
        </is>
      </c>
    </row>
    <row r="22">
      <c r="A22" s="8" t="inlineStr">
        <is>
          <t>Serbia</t>
        </is>
      </c>
      <c r="B22" s="9" t="n">
        <v>5</v>
      </c>
      <c r="C22" s="9" t="n">
        <v>3</v>
      </c>
      <c r="D22" s="9" t="n">
        <v>2</v>
      </c>
      <c r="E22" s="9" t="n">
        <v>5.411902343750005</v>
      </c>
      <c r="F22" s="9" t="n">
        <v>3.247141406250003</v>
      </c>
      <c r="G22" s="9" t="n">
        <v>2.164760937500002</v>
      </c>
      <c r="J22" s="8" t="inlineStr">
        <is>
          <t>Jerman</t>
        </is>
      </c>
      <c r="K22" s="10" t="n">
        <v>449.1878945312504</v>
      </c>
    </row>
    <row r="23">
      <c r="A23" s="8" t="inlineStr">
        <is>
          <t>Malta</t>
        </is>
      </c>
      <c r="B23" s="9" t="n">
        <v>1.7</v>
      </c>
      <c r="C23" s="9" t="n">
        <v>0.5</v>
      </c>
      <c r="D23" s="9" t="n">
        <v>1.2</v>
      </c>
      <c r="E23" s="9" t="n">
        <v>1.840046796875002</v>
      </c>
      <c r="F23" s="9" t="n">
        <v>0.5411902343750005</v>
      </c>
      <c r="G23" s="9" t="n">
        <v>1.298856562500001</v>
      </c>
      <c r="J23" s="8" t="inlineStr">
        <is>
          <t>Belanda</t>
        </is>
      </c>
      <c r="K23" s="10" t="n">
        <v>210.3065250781252</v>
      </c>
    </row>
    <row r="24">
      <c r="A24" s="8" t="inlineStr">
        <is>
          <t>Slovenia</t>
        </is>
      </c>
      <c r="B24" s="9" t="n">
        <v>0.4</v>
      </c>
      <c r="C24" s="9" t="n">
        <v>0.1</v>
      </c>
      <c r="D24" s="9" t="n">
        <v>0.3</v>
      </c>
      <c r="E24" s="9" t="n">
        <v>0.4329521875000004</v>
      </c>
      <c r="F24" s="9" t="n">
        <v>0.1082380468750001</v>
      </c>
      <c r="G24" s="9" t="n">
        <v>0.3247141406250003</v>
      </c>
      <c r="J24" s="8" t="inlineStr">
        <is>
          <t>Italia</t>
        </is>
      </c>
      <c r="K24" s="10" t="n">
        <v>199.0497682031252</v>
      </c>
    </row>
    <row r="25">
      <c r="A25" s="8" t="inlineStr">
        <is>
          <t>Lituania</t>
        </is>
      </c>
      <c r="B25" s="9" t="n">
        <v>0.7</v>
      </c>
      <c r="C25" s="9" t="n">
        <v>0.4</v>
      </c>
      <c r="D25" s="9" t="n">
        <v>0.3</v>
      </c>
      <c r="E25" s="9" t="n">
        <v>0.7576663281250007</v>
      </c>
      <c r="F25" s="9" t="n">
        <v>0.4329521875000004</v>
      </c>
      <c r="G25" s="9" t="n">
        <v>0.3247141406250003</v>
      </c>
      <c r="J25" s="8" t="inlineStr">
        <is>
          <t>Prancis</t>
        </is>
      </c>
      <c r="K25" s="10" t="n">
        <v>101.7437640625001</v>
      </c>
    </row>
    <row r="26">
      <c r="A26" s="8" t="inlineStr">
        <is>
          <t>Islandia</t>
        </is>
      </c>
      <c r="B26" s="9" t="n">
        <v>2.6</v>
      </c>
      <c r="C26" s="9" t="n">
        <v>2.6</v>
      </c>
      <c r="D26" s="9" t="n">
        <v>0.1</v>
      </c>
      <c r="E26" s="9" t="n">
        <v>2.814189218750002</v>
      </c>
      <c r="F26" s="9" t="n">
        <v>2.814189218750002</v>
      </c>
      <c r="G26" s="9" t="n">
        <v>0.1082380468750001</v>
      </c>
      <c r="J26" s="8" t="inlineStr">
        <is>
          <t>Finlandia</t>
        </is>
      </c>
      <c r="K26" s="10" t="n">
        <v>63.86044765625006</v>
      </c>
    </row>
    <row r="27">
      <c r="A27" s="8" t="inlineStr">
        <is>
          <t>Portugal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J27" s="8" t="inlineStr">
        <is>
          <t>Slowakia</t>
        </is>
      </c>
      <c r="K27" s="10" t="n">
        <v>-0.2164760937500002</v>
      </c>
    </row>
    <row r="28">
      <c r="A28" s="8" t="inlineStr">
        <is>
          <t>Kosovo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J28" s="8" t="inlineStr">
        <is>
          <t>Albania</t>
        </is>
      </c>
      <c r="K28" s="10" t="n">
        <v>-0.6494282812500005</v>
      </c>
    </row>
    <row r="29">
      <c r="A29" s="8" t="inlineStr">
        <is>
          <t>Turki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J29" s="8" t="inlineStr">
        <is>
          <t>Ceko</t>
        </is>
      </c>
      <c r="K29" s="10" t="n">
        <v>-0.8659043750000008</v>
      </c>
    </row>
    <row r="30">
      <c r="A30" s="8" t="inlineStr">
        <is>
          <t>Siprus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J30" s="8" t="inlineStr">
        <is>
          <t>Polandia</t>
        </is>
      </c>
      <c r="K30" s="10" t="n">
        <v>-1.731808750000002</v>
      </c>
    </row>
    <row r="31">
      <c r="A31" s="8" t="inlineStr">
        <is>
          <t>Swiss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J31" s="8" t="inlineStr">
        <is>
          <t>Bulgaria</t>
        </is>
      </c>
      <c r="K31" s="10" t="n">
        <v>-4.113045781250004</v>
      </c>
    </row>
    <row r="32">
      <c r="A32" s="8" t="inlineStr">
        <is>
          <t>Irlandia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</row>
    <row r="33">
      <c r="A33" s="8" t="inlineStr">
        <is>
          <t>Spanyol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</row>
    <row r="34">
      <c r="A34" s="8" t="inlineStr">
        <is>
          <t>Montenegro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</row>
    <row r="35">
      <c r="A35" s="8" t="inlineStr">
        <is>
          <t>Norwegia</t>
        </is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</row>
    <row r="36">
      <c r="A36" s="8" t="inlineStr">
        <is>
          <t>Bosnia dan Herzegovina</t>
        </is>
      </c>
      <c r="B36" s="9" t="n">
        <v>0</v>
      </c>
      <c r="C36" s="9" t="n">
        <v>0.1</v>
      </c>
      <c r="D36" s="9" t="n">
        <v>-0.1</v>
      </c>
      <c r="E36" s="9" t="n">
        <v>0</v>
      </c>
      <c r="F36" s="9" t="n">
        <v>0.1082380468750001</v>
      </c>
      <c r="G36" s="9" t="n">
        <v>-0.1082380468750001</v>
      </c>
    </row>
    <row r="37">
      <c r="A37" s="8" t="inlineStr">
        <is>
          <t>Slowakia</t>
        </is>
      </c>
      <c r="B37" s="9" t="n">
        <v>0.1</v>
      </c>
      <c r="C37" s="9" t="n">
        <v>0.3</v>
      </c>
      <c r="D37" s="9" t="n">
        <v>-0.2</v>
      </c>
      <c r="E37" s="9" t="n">
        <v>0.1082380468750001</v>
      </c>
      <c r="F37" s="9" t="n">
        <v>0.3247141406250003</v>
      </c>
      <c r="G37" s="9" t="n">
        <v>-0.2164760937500002</v>
      </c>
    </row>
    <row r="38">
      <c r="A38" s="8" t="inlineStr">
        <is>
          <t>Albania</t>
        </is>
      </c>
      <c r="B38" s="9" t="n">
        <v>0</v>
      </c>
      <c r="C38" s="9" t="n">
        <v>0.6</v>
      </c>
      <c r="D38" s="9" t="n">
        <v>-0.6</v>
      </c>
      <c r="E38" s="9" t="n">
        <v>0</v>
      </c>
      <c r="F38" s="9" t="n">
        <v>0.6494282812500005</v>
      </c>
      <c r="G38" s="9" t="n">
        <v>-0.6494282812500005</v>
      </c>
    </row>
    <row r="39">
      <c r="A39" s="8" t="inlineStr">
        <is>
          <t>Ceko</t>
        </is>
      </c>
      <c r="B39" s="9" t="n">
        <v>0.4</v>
      </c>
      <c r="C39" s="9" t="n">
        <v>1.2</v>
      </c>
      <c r="D39" s="9" t="n">
        <v>-0.8</v>
      </c>
      <c r="E39" s="9" t="n">
        <v>0.4329521875000004</v>
      </c>
      <c r="F39" s="9" t="n">
        <v>1.298856562500001</v>
      </c>
      <c r="G39" s="9" t="n">
        <v>-0.8659043750000008</v>
      </c>
    </row>
    <row r="40">
      <c r="A40" s="8" t="inlineStr">
        <is>
          <t>Polandia</t>
        </is>
      </c>
      <c r="B40" s="9" t="n">
        <v>11.8</v>
      </c>
      <c r="C40" s="9" t="n">
        <v>13.2</v>
      </c>
      <c r="D40" s="9" t="n">
        <v>-1.6</v>
      </c>
      <c r="E40" s="9" t="n">
        <v>12.77208953125001</v>
      </c>
      <c r="F40" s="9" t="n">
        <v>14.28742218750001</v>
      </c>
      <c r="G40" s="9" t="n">
        <v>-1.731808750000002</v>
      </c>
    </row>
    <row r="41">
      <c r="A41" s="8" t="inlineStr">
        <is>
          <t>Bulgaria</t>
        </is>
      </c>
      <c r="B41" s="9" t="n">
        <v>0.2</v>
      </c>
      <c r="C41" s="9" t="n">
        <v>3.9</v>
      </c>
      <c r="D41" s="9" t="n">
        <v>-3.8</v>
      </c>
      <c r="E41" s="9" t="n">
        <v>0.2164760937500002</v>
      </c>
      <c r="F41" s="9" t="n">
        <v>4.221283828125004</v>
      </c>
      <c r="G41" s="9" t="n">
        <v>-4.113045781250004</v>
      </c>
    </row>
    <row r="43">
      <c r="A43" s="5" t="inlineStr">
        <is>
          <t>Sumber: Eurostat bop_its6_det</t>
        </is>
      </c>
    </row>
  </sheetData>
  <hyperlinks>
    <hyperlink xmlns:r="http://schemas.openxmlformats.org/officeDocument/2006/relationships" ref="A43" r:id="rId1"/>
  </hyperlinks>
  <pageMargins left="0.75" right="0.75" top="1" bottom="1" header="0.5" footer="0.5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Pembanding: laporan Australia (ABS) tentang perjalanan dengan Indonesia</t>
        </is>
      </c>
    </row>
    <row r="2">
      <c r="A2" s="2" t="inlineStr">
        <is>
          <t>Satu negara mitra, jadi tidak ada Top 5. Mata uang tabel ABS '$m' = juta dolar Australia (AUD).</t>
        </is>
      </c>
    </row>
    <row r="3">
      <c r="A3" s="3" t="inlineStr">
        <is>
          <t>Label abu-abu di bawah judul kolom → GIVEN: diambil apa adanya dari sumber · DIHITUNG SENDIRI: kami hitung, caranya tertulis · ASUMSI SENDIRI: pilihan kami karena sumber tidak menyediakan angkanya.</t>
        </is>
      </c>
    </row>
    <row r="4">
      <c r="A4" s="4" t="inlineStr">
        <is>
          <t>Dari mana kredit dan debit Indonesia diambil</t>
        </is>
      </c>
    </row>
    <row r="5" ht="20" customHeight="1">
      <c r="A5" s="6" t="inlineStr">
        <is>
          <t>Sisi Indonesia</t>
        </is>
      </c>
      <c r="B5" s="6" t="inlineStr">
        <is>
          <t>Tabel ABS</t>
        </is>
      </c>
      <c r="C5" s="6" t="inlineStr">
        <is>
          <t>Arti</t>
        </is>
      </c>
      <c r="D5" s="6" t="inlineStr">
        <is>
          <t>Link</t>
        </is>
      </c>
    </row>
    <row r="6">
      <c r="A6" s="8" t="inlineStr">
        <is>
          <t>Kredit Indonesia</t>
        </is>
      </c>
      <c r="B6" s="8" t="inlineStr">
        <is>
          <t>Tabel 8 'Debits' (impor jasa perjalanan Australia)</t>
        </is>
      </c>
      <c r="C6" s="8" t="inlineStr">
        <is>
          <t>Belanja penduduk Australia saat berada di Indonesia</t>
        </is>
      </c>
      <c r="D6" s="25" t="inlineStr">
        <is>
          <t>Tabel 8</t>
        </is>
      </c>
    </row>
    <row r="7">
      <c r="A7" s="8" t="inlineStr">
        <is>
          <t>Debit Indonesia</t>
        </is>
      </c>
      <c r="B7" s="8" t="inlineStr">
        <is>
          <t>Tabel 7 'Credits' (ekspor jasa perjalanan Australia)</t>
        </is>
      </c>
      <c r="C7" s="8" t="inlineStr">
        <is>
          <t>Belanja penduduk Indonesia saat berada di Australia (termasuk biaya kuliah)</t>
        </is>
      </c>
      <c r="D7" s="25" t="inlineStr">
        <is>
          <t>Tabel 7</t>
        </is>
      </c>
    </row>
    <row r="8">
      <c r="A8" s="2" t="inlineStr">
        <is>
          <t>Bukti AUD: nilai ABS sama persis dengan nilai Australia dalam mata uang nasional di OECD (mis. 2024: 10.223 dan 2.317), dan kurs tersirat ke USD 2023 = 1,5052 = kurs AUD Bank Dunia.</t>
        </is>
      </c>
    </row>
    <row r="10" ht="42" customHeight="1">
      <c r="A10" s="6" t="inlineStr">
        <is>
          <t>Tahun</t>
        </is>
      </c>
      <c r="B10" s="6" t="inlineStr">
        <is>
          <t>Kredit Indonesia (AUD juta)</t>
        </is>
      </c>
      <c r="C10" s="6" t="inlineStr">
        <is>
          <t>Debit Indonesia (AUD juta)</t>
        </is>
      </c>
      <c r="D10" s="6" t="inlineStr">
        <is>
          <t>Neraca Indonesia (AUD juta)</t>
        </is>
      </c>
      <c r="E10" s="6" t="inlineStr">
        <is>
          <t>Kredit Indonesia (USD juta)</t>
        </is>
      </c>
      <c r="F10" s="6" t="inlineStr">
        <is>
          <t>Debit Indonesia (USD juta)</t>
        </is>
      </c>
      <c r="G10" s="6" t="inlineStr">
        <is>
          <t>Neraca Indonesia (USD juta)</t>
        </is>
      </c>
    </row>
    <row r="11" ht="52" customHeight="1">
      <c r="A11" s="7" t="n"/>
      <c r="B11" s="7" t="inlineStr">
        <is>
          <t>GIVEN · mirroring: Tabel 8.1 (impor Australia), tanda minus dihapus</t>
        </is>
      </c>
      <c r="C11" s="7" t="inlineStr">
        <is>
          <t>GIVEN · mirroring: Tabel 7.1 (ekspor Australia)</t>
        </is>
      </c>
      <c r="D11" s="7" t="inlineStr">
        <is>
          <t>DIHITUNG SENDIRI: kredit − debit</t>
        </is>
      </c>
      <c r="E11" s="7" t="inlineStr">
        <is>
          <t>DIHITUNG SENDIRI: AUD ÷ kurs AUD per USD tahun itu (Bank Dunia)</t>
        </is>
      </c>
      <c r="F11" s="7" t="inlineStr">
        <is>
          <t>DIHITUNG SENDIRI: AUD ÷ kurs AUD per USD tahun itu (Bank Dunia)</t>
        </is>
      </c>
      <c r="G11" s="7" t="inlineStr">
        <is>
          <t>DIHITUNG SENDIRI: kredit − debit</t>
        </is>
      </c>
    </row>
    <row r="12">
      <c r="A12" s="8" t="n">
        <v>2010</v>
      </c>
      <c r="B12" s="10" t="n">
        <v>1919</v>
      </c>
      <c r="C12" s="10" t="n">
        <v>916</v>
      </c>
      <c r="D12" s="10" t="n">
        <v>1003</v>
      </c>
      <c r="E12" s="10" t="n">
        <v>1760.292896556212</v>
      </c>
      <c r="F12" s="10" t="n">
        <v>840.2440298308965</v>
      </c>
      <c r="G12" s="10" t="n">
        <v>920.0488667253156</v>
      </c>
    </row>
    <row r="13">
      <c r="A13" s="8" t="n">
        <v>2011</v>
      </c>
      <c r="B13" s="10" t="n">
        <v>2227</v>
      </c>
      <c r="C13" s="10" t="n">
        <v>1019</v>
      </c>
      <c r="D13" s="10" t="n">
        <v>1208</v>
      </c>
      <c r="E13" s="10" t="n">
        <v>2297.147531295441</v>
      </c>
      <c r="F13" s="10" t="n">
        <v>1051.097141621039</v>
      </c>
      <c r="G13" s="10" t="n">
        <v>1246.050389674402</v>
      </c>
    </row>
    <row r="14">
      <c r="A14" s="8" t="n">
        <v>2012</v>
      </c>
      <c r="B14" s="10" t="n">
        <v>2401</v>
      </c>
      <c r="C14" s="10" t="n">
        <v>1026</v>
      </c>
      <c r="D14" s="10" t="n">
        <v>1375</v>
      </c>
      <c r="E14" s="10" t="n">
        <v>2486.019297745459</v>
      </c>
      <c r="F14" s="10" t="n">
        <v>1062.330612031171</v>
      </c>
      <c r="G14" s="10" t="n">
        <v>1423.688685714288</v>
      </c>
    </row>
    <row r="15">
      <c r="A15" s="8" t="n">
        <v>2013</v>
      </c>
      <c r="B15" s="10" t="n">
        <v>2523</v>
      </c>
      <c r="C15" s="10" t="n">
        <v>1010</v>
      </c>
      <c r="D15" s="10" t="n">
        <v>1513</v>
      </c>
      <c r="E15" s="10" t="n">
        <v>2435.697074658251</v>
      </c>
      <c r="F15" s="10" t="n">
        <v>975.051147603977</v>
      </c>
      <c r="G15" s="10" t="n">
        <v>1460.645927054275</v>
      </c>
    </row>
    <row r="16">
      <c r="A16" s="8" t="n">
        <v>2014</v>
      </c>
      <c r="B16" s="10" t="n">
        <v>2665</v>
      </c>
      <c r="C16" s="10" t="n">
        <v>1067</v>
      </c>
      <c r="D16" s="10" t="n">
        <v>1598</v>
      </c>
      <c r="E16" s="10" t="n">
        <v>2402.278872264646</v>
      </c>
      <c r="F16" s="10" t="n">
        <v>961.8129668691845</v>
      </c>
      <c r="G16" s="10" t="n">
        <v>1440.465905395461</v>
      </c>
    </row>
    <row r="17">
      <c r="A17" s="8" t="n">
        <v>2015</v>
      </c>
      <c r="B17" s="10" t="n">
        <v>2740</v>
      </c>
      <c r="C17" s="10" t="n">
        <v>1064</v>
      </c>
      <c r="D17" s="10" t="n">
        <v>1676</v>
      </c>
      <c r="E17" s="10" t="n">
        <v>2058.462958737638</v>
      </c>
      <c r="F17" s="10" t="n">
        <v>799.3447401813312</v>
      </c>
      <c r="G17" s="10" t="n">
        <v>1259.118218556307</v>
      </c>
    </row>
    <row r="18">
      <c r="A18" s="8" t="n">
        <v>2016</v>
      </c>
      <c r="B18" s="10" t="n">
        <v>3296</v>
      </c>
      <c r="C18" s="10" t="n">
        <v>1254</v>
      </c>
      <c r="D18" s="10" t="n">
        <v>2042</v>
      </c>
      <c r="E18" s="10" t="n">
        <v>2450.16782367441</v>
      </c>
      <c r="F18" s="10" t="n">
        <v>932.1937047596208</v>
      </c>
      <c r="G18" s="10" t="n">
        <v>1517.974118914789</v>
      </c>
    </row>
    <row r="19">
      <c r="A19" s="8" t="n">
        <v>2017</v>
      </c>
      <c r="B19" s="10" t="n">
        <v>3138</v>
      </c>
      <c r="C19" s="10" t="n">
        <v>1255</v>
      </c>
      <c r="D19" s="10" t="n">
        <v>1883</v>
      </c>
      <c r="E19" s="10" t="n">
        <v>2405.04355251692</v>
      </c>
      <c r="F19" s="10" t="n">
        <v>961.8641358855114</v>
      </c>
      <c r="G19" s="10" t="n">
        <v>1443.179416631409</v>
      </c>
    </row>
    <row r="20">
      <c r="A20" s="8" t="n">
        <v>2018</v>
      </c>
      <c r="B20" s="10" t="n">
        <v>3640</v>
      </c>
      <c r="C20" s="10" t="n">
        <v>1390</v>
      </c>
      <c r="D20" s="10" t="n">
        <v>2250</v>
      </c>
      <c r="E20" s="10" t="n">
        <v>2719.640590243662</v>
      </c>
      <c r="F20" s="10" t="n">
        <v>1038.544071549091</v>
      </c>
      <c r="G20" s="10" t="n">
        <v>1681.096518694571</v>
      </c>
    </row>
    <row r="21">
      <c r="A21" s="8" t="n">
        <v>2019</v>
      </c>
      <c r="B21" s="10" t="n">
        <v>4068</v>
      </c>
      <c r="C21" s="10" t="n">
        <v>1486</v>
      </c>
      <c r="D21" s="10" t="n">
        <v>2582</v>
      </c>
      <c r="E21" s="10" t="n">
        <v>2827.932911645732</v>
      </c>
      <c r="F21" s="10" t="n">
        <v>1033.015807941386</v>
      </c>
      <c r="G21" s="10" t="n">
        <v>1794.917103704346</v>
      </c>
    </row>
    <row r="22">
      <c r="A22" s="8" t="n">
        <v>2020</v>
      </c>
      <c r="B22" s="10" t="n">
        <v>857</v>
      </c>
      <c r="C22" s="10" t="n">
        <v>989</v>
      </c>
      <c r="D22" s="10" t="n">
        <v>-132</v>
      </c>
      <c r="E22" s="10" t="n">
        <v>589.7796275707981</v>
      </c>
      <c r="F22" s="10" t="n">
        <v>680.6208304171754</v>
      </c>
      <c r="G22" s="10" t="n">
        <v>-90.84120284637731</v>
      </c>
    </row>
    <row r="23">
      <c r="A23" s="8" t="n">
        <v>2021</v>
      </c>
      <c r="B23" s="10" t="n">
        <v>14</v>
      </c>
      <c r="C23" s="10" t="n">
        <v>607</v>
      </c>
      <c r="D23" s="10" t="n">
        <v>-593</v>
      </c>
      <c r="E23" s="10" t="n">
        <v>10.51663526963799</v>
      </c>
      <c r="F23" s="10" t="n">
        <v>455.9712577621617</v>
      </c>
      <c r="G23" s="10" t="n">
        <v>-445.4546224925236</v>
      </c>
    </row>
    <row r="24">
      <c r="A24" s="8" t="n">
        <v>2022</v>
      </c>
      <c r="B24" s="10" t="n">
        <v>3342</v>
      </c>
      <c r="C24" s="10" t="n">
        <v>1124</v>
      </c>
      <c r="D24" s="10" t="n">
        <v>2218</v>
      </c>
      <c r="E24" s="10" t="n">
        <v>2318.153838930595</v>
      </c>
      <c r="F24" s="10" t="n">
        <v>779.6543731172916</v>
      </c>
      <c r="G24" s="10" t="n">
        <v>1538.499465813303</v>
      </c>
    </row>
    <row r="25">
      <c r="A25" s="8" t="n">
        <v>2023</v>
      </c>
      <c r="B25" s="10" t="n">
        <v>8809</v>
      </c>
      <c r="C25" s="10" t="n">
        <v>1984</v>
      </c>
      <c r="D25" s="10" t="n">
        <v>6825</v>
      </c>
      <c r="E25" s="10" t="n">
        <v>5852.413159560459</v>
      </c>
      <c r="F25" s="10" t="n">
        <v>1318.105086680435</v>
      </c>
      <c r="G25" s="10" t="n">
        <v>4534.308072880023</v>
      </c>
    </row>
    <row r="26">
      <c r="A26" s="8" t="n">
        <v>2024</v>
      </c>
      <c r="B26" s="10" t="n">
        <v>10223</v>
      </c>
      <c r="C26" s="10" t="n">
        <v>2317</v>
      </c>
      <c r="D26" s="10" t="n">
        <v>7906</v>
      </c>
      <c r="E26" s="10" t="n">
        <v>6746.260447954512</v>
      </c>
      <c r="F26" s="10" t="n">
        <v>1529.011587392214</v>
      </c>
      <c r="G26" s="10" t="n">
        <v>5217.248860562298</v>
      </c>
    </row>
    <row r="27">
      <c r="A27" s="8" t="n">
        <v>2025</v>
      </c>
      <c r="B27" s="10" t="n">
        <v>10454</v>
      </c>
      <c r="C27" s="10" t="n">
        <v>2672</v>
      </c>
      <c r="D27" s="10" t="n">
        <v>7782</v>
      </c>
      <c r="E27" s="10" t="n">
        <v>6735.833914423136</v>
      </c>
      <c r="F27" s="10" t="n">
        <v>1721.651828901724</v>
      </c>
      <c r="G27" s="10" t="n">
        <v>5014.182085521412</v>
      </c>
    </row>
    <row r="30">
      <c r="A30" s="4" t="inlineStr">
        <is>
          <t>Rincian 2025 (AUD juta)</t>
        </is>
      </c>
    </row>
    <row r="31" ht="20" customHeight="1">
      <c r="A31" s="6" t="inlineStr">
        <is>
          <t>Jenis perjalanan</t>
        </is>
      </c>
      <c r="B31" s="6" t="inlineStr">
        <is>
          <t>Kredit Indonesia</t>
        </is>
      </c>
      <c r="C31" s="6" t="inlineStr">
        <is>
          <t>Debit Indonesia</t>
        </is>
      </c>
      <c r="D31" s="6" t="inlineStr">
        <is>
          <t>Neraca Indonesia</t>
        </is>
      </c>
    </row>
    <row r="32" ht="40" customHeight="1">
      <c r="A32" s="7" t="n"/>
      <c r="B32" s="7" t="inlineStr">
        <is>
          <t>GIVEN · mirroring: Tabel 8.2 / 8.4 / 8.5</t>
        </is>
      </c>
      <c r="C32" s="7" t="inlineStr">
        <is>
          <t>GIVEN · mirroring: Tabel 7.2 / 7.4 / 7.5</t>
        </is>
      </c>
      <c r="D32" s="7" t="inlineStr">
        <is>
          <t>DIHITUNG SENDIRI: kredit − debit</t>
        </is>
      </c>
    </row>
    <row r="33">
      <c r="A33" s="8" t="inlineStr">
        <is>
          <t>Perjalanan bisnis</t>
        </is>
      </c>
      <c r="B33" s="10" t="n">
        <v>300</v>
      </c>
      <c r="C33" s="10" t="n">
        <v>143</v>
      </c>
      <c r="D33" s="10" t="n">
        <v>157</v>
      </c>
    </row>
    <row r="34">
      <c r="A34" s="8" t="inlineStr">
        <is>
          <t>Pendidikan (pribadi)</t>
        </is>
      </c>
      <c r="B34" s="10" t="n">
        <v>27</v>
      </c>
      <c r="C34" s="10" t="n">
        <v>1742</v>
      </c>
      <c r="D34" s="10" t="n">
        <v>-1715</v>
      </c>
    </row>
    <row r="35">
      <c r="A35" s="8" t="inlineStr">
        <is>
          <t>Pribadi lainnya (wisata, kesehatan, dll.)</t>
        </is>
      </c>
      <c r="B35" s="10" t="n">
        <v>10127</v>
      </c>
      <c r="C35" s="10" t="n">
        <v>787</v>
      </c>
      <c r="D35" s="10" t="n">
        <v>9340</v>
      </c>
    </row>
  </sheetData>
  <hyperlinks>
    <hyperlink xmlns:r="http://schemas.openxmlformats.org/officeDocument/2006/relationships" ref="D6" r:id="rId1"/>
    <hyperlink xmlns:r="http://schemas.openxmlformats.org/officeDocument/2006/relationships" ref="D7" r:id="rId2"/>
  </hyperlinks>
  <pageMargins left="0.75" right="0.75" top="1" bottom="1" header="0.5" footer="0.5"/>
  <drawing xmlns:r="http://schemas.openxmlformats.org/officeDocument/2006/relationships" r:id="rId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2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20" customWidth="1" min="12" max="12"/>
    <col width="10" customWidth="1" min="13" max="13"/>
  </cols>
  <sheetData>
    <row r="1">
      <c r="A1" s="1" t="inlineStr">
        <is>
          <t>Pembanding: OECD-WTO BaTIS, 2024 (USD juta)</t>
        </is>
      </c>
    </row>
    <row r="2">
      <c r="A2" s="2" t="inlineStr">
        <is>
          <t>SEMUA estimasi di sheet ini GIVEN: dihitung OECD-WTO dan diunduh apa adanya. Kami TIDAK menjalankan model gravitasi/PPML. Satu-satunya hitungan kami: kolom Neraca (kredit B − debit B).</t>
        </is>
      </c>
    </row>
    <row r="3">
      <c r="A3" s="3" t="inlineStr">
        <is>
          <t>Label abu-abu di bawah judul kolom → GIVEN: diambil apa adanya dari sumber · DIHITUNG SENDIRI: kami hitung, caranya tertulis · ASUMSI SENDIRI: pilihan kami karena sumber tidak menyediakan angkanya.</t>
        </is>
      </c>
    </row>
    <row r="4">
      <c r="A4" s="4" t="inlineStr">
        <is>
          <t>Legenda kode OECD-WTO</t>
        </is>
      </c>
      <c r="L4" s="4" t="inlineStr">
        <is>
          <t>Data grafik: Top 5, 2024, USD juta (salinan dari tabel utama)</t>
        </is>
      </c>
    </row>
    <row r="5" ht="18" customHeight="1">
      <c r="A5" s="2" t="inlineStr">
        <is>
          <t>Jenis angka:  F = estimasi OECD-WTO untuk sisi Indonesia · N = dilaporkan langsung oleh negara · B = nilai seimbang buatan OECD-WTO (gabungan F dan laporan mitra)</t>
        </is>
      </c>
      <c r="L5" s="6" t="inlineStr">
        <is>
          <t>Negara</t>
        </is>
      </c>
      <c r="M5" s="6" t="inlineStr">
        <is>
          <t>Kredit</t>
        </is>
      </c>
    </row>
    <row r="6">
      <c r="A6" s="2" t="inlineStr">
        <is>
          <t>Kode metode (kolom terakhir):  ME = OECD-WTO mengisi dengan model gravitasi · IE = OECD-WTO meng-interpolasi/ekstrapolasi dari tahun lain · AG = agregasi. Detail: sheet 'BaTIS – Cara Model'.</t>
        </is>
      </c>
      <c r="L6" s="8" t="inlineStr">
        <is>
          <t>Australia</t>
        </is>
      </c>
      <c r="M6" s="10" t="n">
        <v>3710.879432</v>
      </c>
    </row>
    <row r="7">
      <c r="L7" s="8" t="inlineStr">
        <is>
          <t>Tiongkok</t>
        </is>
      </c>
      <c r="M7" s="10" t="n">
        <v>2675.008687</v>
      </c>
    </row>
    <row r="8" ht="64" customHeight="1">
      <c r="A8" s="6" t="inlineStr">
        <is>
          <t>Negara</t>
        </is>
      </c>
      <c r="B8" s="6" t="inlineStr">
        <is>
          <t>Kredit Indonesia: estimasi OECD-WTO (F)</t>
        </is>
      </c>
      <c r="C8" s="6" t="inlineStr">
        <is>
          <t>Kredit Indonesia: dilaporkan negara mitra (N)</t>
        </is>
      </c>
      <c r="D8" s="6" t="inlineStr">
        <is>
          <t>Kredit Indonesia: nilai seimbang (B)</t>
        </is>
      </c>
      <c r="E8" s="6" t="inlineStr">
        <is>
          <t>Debit Indonesia: estimasi OECD-WTO (F)</t>
        </is>
      </c>
      <c r="F8" s="6" t="inlineStr">
        <is>
          <t>Debit Indonesia: dilaporkan negara mitra (N)</t>
        </is>
      </c>
      <c r="G8" s="6" t="inlineStr">
        <is>
          <t>Debit Indonesia: nilai seimbang (B)</t>
        </is>
      </c>
      <c r="H8" s="6" t="inlineStr">
        <is>
          <t>Neraca Indonesia (B)</t>
        </is>
      </c>
      <c r="I8" s="6" t="inlineStr">
        <is>
          <t>Kode metode F</t>
        </is>
      </c>
      <c r="L8" s="8" t="inlineStr">
        <is>
          <t>Amerika Serikat</t>
        </is>
      </c>
      <c r="M8" s="10" t="n">
        <v>1298.708371</v>
      </c>
    </row>
    <row r="9" ht="52" customHeight="1">
      <c r="A9" s="7" t="n"/>
      <c r="B9" s="7" t="inlineStr">
        <is>
          <t>GIVEN (OECD-WTO, kode F)</t>
        </is>
      </c>
      <c r="C9" s="7" t="inlineStr">
        <is>
          <t>GIVEN (OECD-WTO, kode N) · mirroring: sisi mitra dibalik</t>
        </is>
      </c>
      <c r="D9" s="7" t="inlineStr">
        <is>
          <t>GIVEN (OECD-WTO, kode B)</t>
        </is>
      </c>
      <c r="E9" s="7" t="inlineStr">
        <is>
          <t>GIVEN (OECD-WTO, kode F)</t>
        </is>
      </c>
      <c r="F9" s="7" t="inlineStr">
        <is>
          <t>GIVEN (OECD-WTO, kode N) · mirroring: sisi mitra dibalik</t>
        </is>
      </c>
      <c r="G9" s="7" t="inlineStr">
        <is>
          <t>GIVEN (OECD-WTO, kode B)</t>
        </is>
      </c>
      <c r="H9" s="7" t="inlineStr">
        <is>
          <t>DIHITUNG SENDIRI: kredit B − debit B</t>
        </is>
      </c>
      <c r="I9" s="7" t="inlineStr">
        <is>
          <t>GIVEN (OECD-WTO)</t>
        </is>
      </c>
      <c r="L9" s="8" t="inlineStr">
        <is>
          <t>Singapura</t>
        </is>
      </c>
      <c r="M9" s="10" t="n">
        <v>1114.815479</v>
      </c>
    </row>
    <row r="10">
      <c r="A10" s="8" t="inlineStr">
        <is>
          <t>Australia</t>
        </is>
      </c>
      <c r="B10" s="9" t="n">
        <v>612.706099</v>
      </c>
      <c r="C10" s="9" t="n">
        <v>6916.5</v>
      </c>
      <c r="D10" s="9" t="n">
        <v>3710.879432</v>
      </c>
      <c r="E10" s="9" t="n">
        <v>789.5711240000001</v>
      </c>
      <c r="F10" s="9" t="n">
        <v>1493.4</v>
      </c>
      <c r="G10" s="9" t="n">
        <v>1237.125142</v>
      </c>
      <c r="H10" s="9" t="n">
        <v>2473.75429</v>
      </c>
      <c r="I10" s="8" t="inlineStr">
        <is>
          <t>IE</t>
        </is>
      </c>
      <c r="L10" s="8" t="inlineStr">
        <is>
          <t>Malaysia</t>
        </is>
      </c>
      <c r="M10" s="10" t="n">
        <v>817.02816</v>
      </c>
    </row>
    <row r="11">
      <c r="A11" s="8" t="inlineStr">
        <is>
          <t>Tiongkok</t>
        </is>
      </c>
      <c r="B11" s="9" t="n">
        <v>2899.254925</v>
      </c>
      <c r="C11" s="9" t="n"/>
      <c r="D11" s="9" t="n">
        <v>2675.008687</v>
      </c>
      <c r="E11" s="9" t="n">
        <v>1069.91629</v>
      </c>
      <c r="F11" s="9" t="n"/>
      <c r="G11" s="9" t="n">
        <v>712.413958</v>
      </c>
      <c r="H11" s="9" t="n">
        <v>1962.594729</v>
      </c>
      <c r="I11" s="8" t="inlineStr">
        <is>
          <t>IE</t>
        </is>
      </c>
    </row>
    <row r="12">
      <c r="A12" s="8" t="inlineStr">
        <is>
          <t>Amerika Serikat</t>
        </is>
      </c>
      <c r="B12" s="9" t="n">
        <v>1293.63841</v>
      </c>
      <c r="C12" s="9" t="n">
        <v>875</v>
      </c>
      <c r="D12" s="9" t="n">
        <v>1298.708371</v>
      </c>
      <c r="E12" s="9" t="n">
        <v>1358.489502</v>
      </c>
      <c r="F12" s="9" t="n">
        <v>768</v>
      </c>
      <c r="G12" s="9" t="n">
        <v>1041.166619</v>
      </c>
      <c r="H12" s="9" t="n">
        <v>257.5417519999999</v>
      </c>
      <c r="I12" s="8" t="inlineStr">
        <is>
          <t>IE</t>
        </is>
      </c>
    </row>
    <row r="13" ht="18" customHeight="1">
      <c r="A13" s="8" t="inlineStr">
        <is>
          <t>Singapura</t>
        </is>
      </c>
      <c r="B13" s="9" t="n">
        <v>951.035833</v>
      </c>
      <c r="C13" s="9" t="n"/>
      <c r="D13" s="9" t="n">
        <v>1114.815479</v>
      </c>
      <c r="E13" s="9" t="n">
        <v>1007.067972</v>
      </c>
      <c r="F13" s="9" t="n"/>
      <c r="G13" s="9" t="n">
        <v>883.80872</v>
      </c>
      <c r="H13" s="9" t="n">
        <v>231.0067590000001</v>
      </c>
      <c r="I13" s="8" t="inlineStr">
        <is>
          <t>IE</t>
        </is>
      </c>
      <c r="L13" s="6" t="inlineStr">
        <is>
          <t>Negara</t>
        </is>
      </c>
      <c r="M13" s="6" t="inlineStr">
        <is>
          <t>Debit</t>
        </is>
      </c>
    </row>
    <row r="14">
      <c r="A14" s="8" t="inlineStr">
        <is>
          <t>Malaysia</t>
        </is>
      </c>
      <c r="B14" s="9" t="n">
        <v>830.869972</v>
      </c>
      <c r="C14" s="9" t="n">
        <v>836.03559</v>
      </c>
      <c r="D14" s="9" t="n">
        <v>817.02816</v>
      </c>
      <c r="E14" s="9" t="n">
        <v>539.317684</v>
      </c>
      <c r="F14" s="9" t="n">
        <v>2969.366376</v>
      </c>
      <c r="G14" s="9" t="n">
        <v>1777.806894</v>
      </c>
      <c r="H14" s="9" t="n">
        <v>-960.7787340000001</v>
      </c>
      <c r="I14" s="8" t="inlineStr">
        <is>
          <t>IE</t>
        </is>
      </c>
      <c r="L14" s="8" t="inlineStr">
        <is>
          <t>Malaysia</t>
        </is>
      </c>
      <c r="M14" s="10" t="n">
        <v>1777.806894</v>
      </c>
    </row>
    <row r="15">
      <c r="A15" s="8" t="inlineStr">
        <is>
          <t>India</t>
        </is>
      </c>
      <c r="B15" s="9" t="n">
        <v>752.833232</v>
      </c>
      <c r="C15" s="9" t="n"/>
      <c r="D15" s="9" t="n">
        <v>805.000041</v>
      </c>
      <c r="E15" s="9" t="n">
        <v>216.724193</v>
      </c>
      <c r="F15" s="9" t="n"/>
      <c r="G15" s="9" t="n">
        <v>308.110773</v>
      </c>
      <c r="H15" s="9" t="n">
        <v>496.889268</v>
      </c>
      <c r="I15" s="8" t="inlineStr">
        <is>
          <t>IE</t>
        </is>
      </c>
      <c r="L15" s="8" t="inlineStr">
        <is>
          <t>Australia</t>
        </is>
      </c>
      <c r="M15" s="10" t="n">
        <v>1237.125142</v>
      </c>
    </row>
    <row r="16">
      <c r="A16" s="8" t="inlineStr">
        <is>
          <t>Jerman</t>
        </is>
      </c>
      <c r="B16" s="9" t="n">
        <v>500.053033</v>
      </c>
      <c r="C16" s="9" t="n"/>
      <c r="D16" s="9" t="n">
        <v>542.040928</v>
      </c>
      <c r="E16" s="9" t="n">
        <v>198.464164</v>
      </c>
      <c r="F16" s="9" t="n"/>
      <c r="G16" s="9" t="n">
        <v>189.687263</v>
      </c>
      <c r="H16" s="9" t="n">
        <v>352.353665</v>
      </c>
      <c r="I16" s="8" t="inlineStr">
        <is>
          <t>IE</t>
        </is>
      </c>
      <c r="L16" s="8" t="inlineStr">
        <is>
          <t>Amerika Serikat</t>
        </is>
      </c>
      <c r="M16" s="10" t="n">
        <v>1041.166619</v>
      </c>
    </row>
    <row r="17">
      <c r="A17" s="8" t="inlineStr">
        <is>
          <t>Korea Selatan</t>
        </is>
      </c>
      <c r="B17" s="9" t="n">
        <v>522.3027080000001</v>
      </c>
      <c r="C17" s="9" t="n"/>
      <c r="D17" s="9" t="n">
        <v>496.941009</v>
      </c>
      <c r="E17" s="9" t="n">
        <v>233.920055</v>
      </c>
      <c r="F17" s="9" t="n"/>
      <c r="G17" s="9" t="n">
        <v>194.851109</v>
      </c>
      <c r="H17" s="9" t="n">
        <v>302.0899</v>
      </c>
      <c r="I17" s="8" t="inlineStr">
        <is>
          <t>IE</t>
        </is>
      </c>
      <c r="L17" s="8" t="inlineStr">
        <is>
          <t>Singapura</t>
        </is>
      </c>
      <c r="M17" s="10" t="n">
        <v>883.80872</v>
      </c>
    </row>
    <row r="18">
      <c r="A18" s="8" t="inlineStr">
        <is>
          <t>Jepang</t>
        </is>
      </c>
      <c r="B18" s="9" t="n">
        <v>973.879043</v>
      </c>
      <c r="C18" s="9" t="n">
        <v>324</v>
      </c>
      <c r="D18" s="9" t="n">
        <v>461.015198</v>
      </c>
      <c r="E18" s="9" t="n">
        <v>660.040194</v>
      </c>
      <c r="F18" s="9" t="n">
        <v>784.4</v>
      </c>
      <c r="G18" s="9" t="n">
        <v>693.201134</v>
      </c>
      <c r="H18" s="9" t="n">
        <v>-232.185936</v>
      </c>
      <c r="I18" s="8" t="inlineStr">
        <is>
          <t>IE</t>
        </is>
      </c>
      <c r="L18" s="8" t="inlineStr">
        <is>
          <t>Thailand</t>
        </is>
      </c>
      <c r="M18" s="10" t="n">
        <v>840.437442</v>
      </c>
    </row>
    <row r="19">
      <c r="A19" s="8" t="inlineStr">
        <is>
          <t>Inggris</t>
        </is>
      </c>
      <c r="B19" s="9" t="n">
        <v>406.694052</v>
      </c>
      <c r="C19" s="9" t="n">
        <v>453.8</v>
      </c>
      <c r="D19" s="9" t="n">
        <v>425.088766</v>
      </c>
      <c r="E19" s="9" t="n">
        <v>234.974953</v>
      </c>
      <c r="F19" s="9" t="n">
        <v>315.7</v>
      </c>
      <c r="G19" s="9" t="n">
        <v>290.638794</v>
      </c>
      <c r="H19" s="9" t="n">
        <v>134.449972</v>
      </c>
      <c r="I19" s="8" t="inlineStr">
        <is>
          <t>IE</t>
        </is>
      </c>
    </row>
    <row r="20">
      <c r="A20" s="8" t="inlineStr">
        <is>
          <t>Thailand</t>
        </is>
      </c>
      <c r="B20" s="9" t="n">
        <v>366.397626</v>
      </c>
      <c r="C20" s="9" t="n"/>
      <c r="D20" s="9" t="n">
        <v>412.87368</v>
      </c>
      <c r="E20" s="9" t="n">
        <v>835.810154</v>
      </c>
      <c r="F20" s="9" t="n"/>
      <c r="G20" s="9" t="n">
        <v>840.437442</v>
      </c>
      <c r="H20" s="9" t="n">
        <v>-427.5637620000001</v>
      </c>
      <c r="I20" s="8" t="inlineStr">
        <is>
          <t>IE</t>
        </is>
      </c>
    </row>
    <row r="21" ht="18" customHeight="1">
      <c r="A21" s="8" t="inlineStr">
        <is>
          <t>Taiwan</t>
        </is>
      </c>
      <c r="B21" s="9" t="n">
        <v>474.041595</v>
      </c>
      <c r="C21" s="9" t="n"/>
      <c r="D21" s="9" t="n">
        <v>402.131074</v>
      </c>
      <c r="E21" s="9" t="n">
        <v>126.852839</v>
      </c>
      <c r="F21" s="9" t="n"/>
      <c r="G21" s="9" t="n">
        <v>106.217903</v>
      </c>
      <c r="H21" s="9" t="n">
        <v>295.913171</v>
      </c>
      <c r="I21" s="8" t="inlineStr">
        <is>
          <t>IE</t>
        </is>
      </c>
      <c r="L21" s="6" t="inlineStr">
        <is>
          <t>Negara</t>
        </is>
      </c>
      <c r="M21" s="6" t="inlineStr">
        <is>
          <t>Neraca</t>
        </is>
      </c>
    </row>
    <row r="22">
      <c r="A22" s="8" t="inlineStr">
        <is>
          <t>Belanda</t>
        </is>
      </c>
      <c r="B22" s="9" t="n">
        <v>403.680634</v>
      </c>
      <c r="C22" s="9" t="n">
        <v>232.528687</v>
      </c>
      <c r="D22" s="9" t="n">
        <v>289.772643</v>
      </c>
      <c r="E22" s="9" t="n">
        <v>80.087763</v>
      </c>
      <c r="F22" s="9" t="n">
        <v>51.913381</v>
      </c>
      <c r="G22" s="9" t="n">
        <v>62.978068</v>
      </c>
      <c r="H22" s="9" t="n">
        <v>226.794575</v>
      </c>
      <c r="I22" s="8" t="inlineStr">
        <is>
          <t>IE</t>
        </is>
      </c>
      <c r="L22" s="8" t="inlineStr">
        <is>
          <t>Australia</t>
        </is>
      </c>
      <c r="M22" s="10" t="n">
        <v>2473.75429</v>
      </c>
    </row>
    <row r="23">
      <c r="A23" s="8" t="inlineStr">
        <is>
          <t>Italia</t>
        </is>
      </c>
      <c r="B23" s="9" t="n">
        <v>273.389061</v>
      </c>
      <c r="C23" s="9" t="n">
        <v>249.833147</v>
      </c>
      <c r="D23" s="9" t="n">
        <v>287.706508</v>
      </c>
      <c r="E23" s="9" t="n">
        <v>385.33386</v>
      </c>
      <c r="F23" s="9" t="n">
        <v>50.831852</v>
      </c>
      <c r="G23" s="9" t="n">
        <v>135.204147</v>
      </c>
      <c r="H23" s="9" t="n">
        <v>152.502361</v>
      </c>
      <c r="I23" s="8" t="inlineStr">
        <is>
          <t>IE</t>
        </is>
      </c>
      <c r="L23" s="8" t="inlineStr">
        <is>
          <t>Tiongkok</t>
        </is>
      </c>
      <c r="M23" s="10" t="n">
        <v>1962.594729</v>
      </c>
    </row>
    <row r="24">
      <c r="A24" s="8" t="inlineStr">
        <is>
          <t>Vietnam</t>
        </is>
      </c>
      <c r="B24" s="9" t="n">
        <v>329.289935</v>
      </c>
      <c r="C24" s="9" t="n"/>
      <c r="D24" s="9" t="n">
        <v>276.206987</v>
      </c>
      <c r="E24" s="9" t="n">
        <v>236.883063</v>
      </c>
      <c r="F24" s="9" t="n"/>
      <c r="G24" s="9" t="n">
        <v>188.435603</v>
      </c>
      <c r="H24" s="9" t="n">
        <v>87.77138400000004</v>
      </c>
      <c r="I24" s="8" t="inlineStr">
        <is>
          <t>IE</t>
        </is>
      </c>
      <c r="L24" s="8" t="inlineStr">
        <is>
          <t>India</t>
        </is>
      </c>
      <c r="M24" s="10" t="n">
        <v>496.889268</v>
      </c>
    </row>
    <row r="25">
      <c r="A25" s="8" t="inlineStr">
        <is>
          <t>Swiss</t>
        </is>
      </c>
      <c r="B25" s="9" t="n">
        <v>157.960913</v>
      </c>
      <c r="C25" s="9" t="n"/>
      <c r="D25" s="9" t="n">
        <v>269.608842</v>
      </c>
      <c r="E25" s="9" t="n">
        <v>38.876158</v>
      </c>
      <c r="F25" s="9" t="n"/>
      <c r="G25" s="9" t="n">
        <v>66.40061900000001</v>
      </c>
      <c r="H25" s="9" t="n">
        <v>203.208223</v>
      </c>
      <c r="I25" s="8" t="inlineStr">
        <is>
          <t>ME</t>
        </is>
      </c>
      <c r="L25" s="8" t="inlineStr">
        <is>
          <t>Jerman</t>
        </is>
      </c>
      <c r="M25" s="10" t="n">
        <v>352.353665</v>
      </c>
    </row>
    <row r="26">
      <c r="A26" s="8" t="inlineStr">
        <is>
          <t>Hong Kong</t>
        </is>
      </c>
      <c r="B26" s="9" t="n">
        <v>423.914009</v>
      </c>
      <c r="C26" s="9" t="n"/>
      <c r="D26" s="9" t="n">
        <v>264.976866</v>
      </c>
      <c r="E26" s="9" t="n">
        <v>1282.76003</v>
      </c>
      <c r="F26" s="9" t="n"/>
      <c r="G26" s="9" t="n">
        <v>794.517439</v>
      </c>
      <c r="H26" s="9" t="n">
        <v>-529.540573</v>
      </c>
      <c r="I26" s="8" t="inlineStr">
        <is>
          <t>IE</t>
        </is>
      </c>
      <c r="L26" s="8" t="inlineStr">
        <is>
          <t>Korea Selatan</t>
        </is>
      </c>
      <c r="M26" s="10" t="n">
        <v>302.0899</v>
      </c>
    </row>
    <row r="27">
      <c r="A27" s="8" t="inlineStr">
        <is>
          <t>Brasil</t>
        </is>
      </c>
      <c r="B27" s="9" t="n">
        <v>233.250087</v>
      </c>
      <c r="C27" s="9" t="n"/>
      <c r="D27" s="9" t="n">
        <v>256.179138</v>
      </c>
      <c r="E27" s="9" t="n">
        <v>89.24232600000001</v>
      </c>
      <c r="F27" s="9" t="n"/>
      <c r="G27" s="9" t="n">
        <v>111.718398</v>
      </c>
      <c r="H27" s="9" t="n">
        <v>144.46074</v>
      </c>
      <c r="I27" s="8" t="inlineStr">
        <is>
          <t>IE</t>
        </is>
      </c>
      <c r="L27" s="8" t="inlineStr">
        <is>
          <t>Turki</t>
        </is>
      </c>
      <c r="M27" s="10" t="n">
        <v>-156.451134</v>
      </c>
    </row>
    <row r="28">
      <c r="A28" s="8" t="inlineStr">
        <is>
          <t>Prancis</t>
        </is>
      </c>
      <c r="B28" s="9" t="n">
        <v>206.55042</v>
      </c>
      <c r="C28" s="9" t="n">
        <v>259.566906</v>
      </c>
      <c r="D28" s="9" t="n">
        <v>251.422496</v>
      </c>
      <c r="E28" s="9" t="n">
        <v>246.155008</v>
      </c>
      <c r="F28" s="9" t="n">
        <v>141.68027</v>
      </c>
      <c r="G28" s="9" t="n">
        <v>168.392499</v>
      </c>
      <c r="H28" s="9" t="n">
        <v>83.02999700000001</v>
      </c>
      <c r="I28" s="8" t="inlineStr">
        <is>
          <t>IE</t>
        </is>
      </c>
      <c r="L28" s="8" t="inlineStr">
        <is>
          <t>Jepang</t>
        </is>
      </c>
      <c r="M28" s="10" t="n">
        <v>-232.185936</v>
      </c>
    </row>
    <row r="29">
      <c r="A29" s="8" t="inlineStr">
        <is>
          <t>Filipina</t>
        </is>
      </c>
      <c r="B29" s="9" t="n">
        <v>219.596254</v>
      </c>
      <c r="C29" s="9" t="n"/>
      <c r="D29" s="9" t="n">
        <v>225.277863</v>
      </c>
      <c r="E29" s="9" t="n">
        <v>144.813372</v>
      </c>
      <c r="F29" s="9" t="n"/>
      <c r="G29" s="9" t="n">
        <v>121.042737</v>
      </c>
      <c r="H29" s="9" t="n">
        <v>104.235126</v>
      </c>
      <c r="I29" s="8" t="inlineStr">
        <is>
          <t>IE</t>
        </is>
      </c>
      <c r="L29" s="8" t="inlineStr">
        <is>
          <t>Thailand</t>
        </is>
      </c>
      <c r="M29" s="10" t="n">
        <v>-427.5637620000001</v>
      </c>
    </row>
    <row r="30">
      <c r="A30" s="8" t="inlineStr">
        <is>
          <t>Spanyol</t>
        </is>
      </c>
      <c r="B30" s="9" t="n">
        <v>184.295898</v>
      </c>
      <c r="C30" s="9" t="n"/>
      <c r="D30" s="9" t="n">
        <v>219.561598</v>
      </c>
      <c r="E30" s="9" t="n">
        <v>422.98878</v>
      </c>
      <c r="F30" s="9" t="n"/>
      <c r="G30" s="9" t="n">
        <v>246.75565</v>
      </c>
      <c r="H30" s="9" t="n">
        <v>-27.194052</v>
      </c>
      <c r="I30" s="8" t="inlineStr">
        <is>
          <t>IE</t>
        </is>
      </c>
      <c r="L30" s="8" t="inlineStr">
        <is>
          <t>Hong Kong</t>
        </is>
      </c>
      <c r="M30" s="10" t="n">
        <v>-529.540573</v>
      </c>
    </row>
    <row r="31">
      <c r="A31" s="8" t="inlineStr">
        <is>
          <t>Uni Emirat Arab</t>
        </is>
      </c>
      <c r="B31" s="9" t="n">
        <v>120.291068</v>
      </c>
      <c r="C31" s="9" t="n"/>
      <c r="D31" s="9" t="n">
        <v>203.193241</v>
      </c>
      <c r="E31" s="9" t="n">
        <v>120.995942</v>
      </c>
      <c r="F31" s="9" t="n"/>
      <c r="G31" s="9" t="n">
        <v>300.744869</v>
      </c>
      <c r="H31" s="9" t="n">
        <v>-97.55162799999999</v>
      </c>
      <c r="I31" s="8" t="inlineStr">
        <is>
          <t>ME</t>
        </is>
      </c>
      <c r="L31" s="8" t="inlineStr">
        <is>
          <t>Malaysia</t>
        </is>
      </c>
      <c r="M31" s="10" t="n">
        <v>-960.7787340000001</v>
      </c>
    </row>
    <row r="32">
      <c r="A32" s="8" t="inlineStr">
        <is>
          <t>Arab Saudi</t>
        </is>
      </c>
      <c r="B32" s="9" t="n">
        <v>171.725509</v>
      </c>
      <c r="C32" s="9" t="n"/>
      <c r="D32" s="9" t="n">
        <v>189.093522</v>
      </c>
      <c r="E32" s="9" t="n">
        <v>42.594709</v>
      </c>
      <c r="F32" s="9" t="n"/>
      <c r="G32" s="9" t="n">
        <v>114.386847</v>
      </c>
      <c r="H32" s="9" t="n">
        <v>74.706675</v>
      </c>
      <c r="I32" s="8" t="inlineStr">
        <is>
          <t>ME</t>
        </is>
      </c>
    </row>
    <row r="33">
      <c r="A33" s="8" t="inlineStr">
        <is>
          <t>Selandia Baru</t>
        </is>
      </c>
      <c r="B33" s="9" t="n">
        <v>123.739036</v>
      </c>
      <c r="C33" s="9" t="n">
        <v>156.7</v>
      </c>
      <c r="D33" s="9" t="n">
        <v>158.782057</v>
      </c>
      <c r="E33" s="9" t="n">
        <v>204.795426</v>
      </c>
      <c r="F33" s="9" t="n">
        <v>82.7</v>
      </c>
      <c r="G33" s="9" t="n">
        <v>143.521672</v>
      </c>
      <c r="H33" s="9" t="n">
        <v>15.26038500000001</v>
      </c>
      <c r="I33" s="8" t="inlineStr">
        <is>
          <t>IE</t>
        </is>
      </c>
    </row>
    <row r="34">
      <c r="A34" s="8" t="inlineStr">
        <is>
          <t>Rusia</t>
        </is>
      </c>
      <c r="B34" s="9" t="n">
        <v>198.152754</v>
      </c>
      <c r="C34" s="9" t="n"/>
      <c r="D34" s="9" t="n">
        <v>127.689987</v>
      </c>
      <c r="E34" s="9" t="n">
        <v>36.53459</v>
      </c>
      <c r="F34" s="9" t="n"/>
      <c r="G34" s="9" t="n">
        <v>26.080448</v>
      </c>
      <c r="H34" s="9" t="n">
        <v>101.609539</v>
      </c>
      <c r="I34" s="8" t="inlineStr">
        <is>
          <t>IE</t>
        </is>
      </c>
    </row>
    <row r="35">
      <c r="A35" s="8" t="inlineStr">
        <is>
          <t>Rest of the world</t>
        </is>
      </c>
      <c r="B35" s="9" t="n">
        <v>91.209643</v>
      </c>
      <c r="C35" s="9" t="n"/>
      <c r="D35" s="9" t="n">
        <v>91.209643</v>
      </c>
      <c r="E35" s="9" t="n">
        <v>70.00983100000001</v>
      </c>
      <c r="F35" s="9" t="n"/>
      <c r="G35" s="9" t="n">
        <v>70.00983100000001</v>
      </c>
      <c r="H35" s="9" t="n">
        <v>21.19981199999999</v>
      </c>
      <c r="I35" s="8" t="inlineStr">
        <is>
          <t>AG</t>
        </is>
      </c>
    </row>
    <row r="36">
      <c r="A36" s="8" t="inlineStr">
        <is>
          <t>Qatar</t>
        </is>
      </c>
      <c r="B36" s="9" t="n">
        <v>48.715798</v>
      </c>
      <c r="C36" s="9" t="n"/>
      <c r="D36" s="9" t="n">
        <v>77.058564</v>
      </c>
      <c r="E36" s="9" t="n">
        <v>2.354289</v>
      </c>
      <c r="F36" s="9" t="n"/>
      <c r="G36" s="9" t="n">
        <v>13.98607</v>
      </c>
      <c r="H36" s="9" t="n">
        <v>63.07249400000001</v>
      </c>
      <c r="I36" s="8" t="inlineStr">
        <is>
          <t>ME</t>
        </is>
      </c>
    </row>
    <row r="37">
      <c r="A37" s="8" t="inlineStr">
        <is>
          <t>Norwegia</t>
        </is>
      </c>
      <c r="B37" s="9" t="n">
        <v>44.83364</v>
      </c>
      <c r="C37" s="9" t="n"/>
      <c r="D37" s="9" t="n">
        <v>73.588773</v>
      </c>
      <c r="E37" s="9" t="n">
        <v>35.15565</v>
      </c>
      <c r="F37" s="9" t="n"/>
      <c r="G37" s="9" t="n">
        <v>22.027097</v>
      </c>
      <c r="H37" s="9" t="n">
        <v>51.56167600000001</v>
      </c>
      <c r="I37" s="8" t="inlineStr">
        <is>
          <t>IE</t>
        </is>
      </c>
    </row>
    <row r="38">
      <c r="A38" s="8" t="inlineStr">
        <is>
          <t>Ukraine</t>
        </is>
      </c>
      <c r="B38" s="9" t="n">
        <v>71.76700599999999</v>
      </c>
      <c r="C38" s="9" t="n"/>
      <c r="D38" s="9" t="n">
        <v>68.892366</v>
      </c>
      <c r="E38" s="9" t="n">
        <v>62.288873</v>
      </c>
      <c r="F38" s="9" t="n"/>
      <c r="G38" s="9" t="n">
        <v>34.942486</v>
      </c>
      <c r="H38" s="9" t="n">
        <v>33.94987999999999</v>
      </c>
      <c r="I38" s="8" t="inlineStr">
        <is>
          <t>IE</t>
        </is>
      </c>
    </row>
    <row r="39">
      <c r="A39" s="8" t="inlineStr">
        <is>
          <t>Finlandia</t>
        </is>
      </c>
      <c r="B39" s="9" t="n">
        <v>32.505915</v>
      </c>
      <c r="C39" s="9" t="n">
        <v>78.951601</v>
      </c>
      <c r="D39" s="9" t="n">
        <v>66.58474699999999</v>
      </c>
      <c r="E39" s="9" t="n">
        <v>61.547854</v>
      </c>
      <c r="F39" s="9" t="n">
        <v>14.059874</v>
      </c>
      <c r="G39" s="9" t="n">
        <v>28.328294</v>
      </c>
      <c r="H39" s="9" t="n">
        <v>38.25645299999999</v>
      </c>
      <c r="I39" s="8" t="inlineStr">
        <is>
          <t>IE</t>
        </is>
      </c>
    </row>
    <row r="40">
      <c r="A40" s="8" t="inlineStr">
        <is>
          <t>Meksiko</t>
        </is>
      </c>
      <c r="B40" s="9" t="n">
        <v>152.889861</v>
      </c>
      <c r="C40" s="9" t="n"/>
      <c r="D40" s="9" t="n">
        <v>66.340537</v>
      </c>
      <c r="E40" s="9" t="n">
        <v>99.432242</v>
      </c>
      <c r="F40" s="9" t="n"/>
      <c r="G40" s="9" t="n">
        <v>55.912642</v>
      </c>
      <c r="H40" s="9" t="n">
        <v>10.427895</v>
      </c>
      <c r="I40" s="8" t="inlineStr">
        <is>
          <t>IE</t>
        </is>
      </c>
    </row>
    <row r="41">
      <c r="A41" s="8" t="inlineStr">
        <is>
          <t>Belgia</t>
        </is>
      </c>
      <c r="B41" s="9" t="n">
        <v>128.238535</v>
      </c>
      <c r="C41" s="9" t="n">
        <v>37.853507</v>
      </c>
      <c r="D41" s="9" t="n">
        <v>65.169811</v>
      </c>
      <c r="E41" s="9" t="n">
        <v>34.112996</v>
      </c>
      <c r="F41" s="9" t="n">
        <v>4.326115</v>
      </c>
      <c r="G41" s="9" t="n">
        <v>10.378727</v>
      </c>
      <c r="H41" s="9" t="n">
        <v>54.791084</v>
      </c>
      <c r="I41" s="8" t="inlineStr">
        <is>
          <t>IE</t>
        </is>
      </c>
    </row>
    <row r="42">
      <c r="A42" s="8" t="inlineStr">
        <is>
          <t>Swedia</t>
        </is>
      </c>
      <c r="B42" s="9" t="n">
        <v>71.414811</v>
      </c>
      <c r="C42" s="9" t="n"/>
      <c r="D42" s="9" t="n">
        <v>64.72098200000001</v>
      </c>
      <c r="E42" s="9" t="n">
        <v>90.929256</v>
      </c>
      <c r="F42" s="9" t="n"/>
      <c r="G42" s="9" t="n">
        <v>30.378851</v>
      </c>
      <c r="H42" s="9" t="n">
        <v>34.34213100000001</v>
      </c>
      <c r="I42" s="8" t="inlineStr">
        <is>
          <t>IE</t>
        </is>
      </c>
    </row>
    <row r="43">
      <c r="A43" s="8" t="inlineStr">
        <is>
          <t>Kuwait</t>
        </is>
      </c>
      <c r="B43" s="9" t="n">
        <v>56.009858</v>
      </c>
      <c r="C43" s="9" t="n"/>
      <c r="D43" s="9" t="n">
        <v>63.285978</v>
      </c>
      <c r="E43" s="9" t="n">
        <v>1.455164</v>
      </c>
      <c r="F43" s="9" t="n"/>
      <c r="G43" s="9" t="n">
        <v>5.485669</v>
      </c>
      <c r="H43" s="9" t="n">
        <v>57.800309</v>
      </c>
      <c r="I43" s="8" t="inlineStr">
        <is>
          <t>ME</t>
        </is>
      </c>
    </row>
    <row r="44">
      <c r="A44" s="8" t="inlineStr">
        <is>
          <t>Kanada</t>
        </is>
      </c>
      <c r="B44" s="9" t="n">
        <v>136.958573</v>
      </c>
      <c r="C44" s="9" t="n"/>
      <c r="D44" s="9" t="n">
        <v>60.69602</v>
      </c>
      <c r="E44" s="9" t="n">
        <v>119.283562</v>
      </c>
      <c r="F44" s="9" t="n"/>
      <c r="G44" s="9" t="n">
        <v>170.87332</v>
      </c>
      <c r="H44" s="9" t="n">
        <v>-110.1773</v>
      </c>
      <c r="I44" s="8" t="inlineStr">
        <is>
          <t>IE</t>
        </is>
      </c>
    </row>
    <row r="45">
      <c r="A45" s="8" t="inlineStr">
        <is>
          <t>Irak</t>
        </is>
      </c>
      <c r="B45" s="9" t="n">
        <v>41.941102</v>
      </c>
      <c r="C45" s="9" t="n"/>
      <c r="D45" s="9" t="n">
        <v>59.728603</v>
      </c>
      <c r="E45" s="9" t="n">
        <v>1.244945</v>
      </c>
      <c r="F45" s="9" t="n"/>
      <c r="G45" s="9" t="n">
        <v>4.579874</v>
      </c>
      <c r="H45" s="9" t="n">
        <v>55.148729</v>
      </c>
      <c r="I45" s="8" t="inlineStr">
        <is>
          <t>ME</t>
        </is>
      </c>
    </row>
    <row r="46">
      <c r="A46" s="8" t="inlineStr">
        <is>
          <t>Turki</t>
        </is>
      </c>
      <c r="B46" s="9" t="n">
        <v>80.73456</v>
      </c>
      <c r="C46" s="9" t="n"/>
      <c r="D46" s="9" t="n">
        <v>57.539839</v>
      </c>
      <c r="E46" s="9" t="n">
        <v>189.112464</v>
      </c>
      <c r="F46" s="9" t="n"/>
      <c r="G46" s="9" t="n">
        <v>213.990973</v>
      </c>
      <c r="H46" s="9" t="n">
        <v>-156.451134</v>
      </c>
      <c r="I46" s="8" t="inlineStr">
        <is>
          <t>IE</t>
        </is>
      </c>
    </row>
    <row r="47">
      <c r="A47" s="8" t="inlineStr">
        <is>
          <t>Brunei Darussalam</t>
        </is>
      </c>
      <c r="B47" s="9" t="n">
        <v>77.522217</v>
      </c>
      <c r="C47" s="9" t="n"/>
      <c r="D47" s="9" t="n">
        <v>54.188795</v>
      </c>
      <c r="E47" s="9" t="n">
        <v>16.402607</v>
      </c>
      <c r="F47" s="9" t="n"/>
      <c r="G47" s="9" t="n">
        <v>10.843565</v>
      </c>
      <c r="H47" s="9" t="n">
        <v>43.34523</v>
      </c>
      <c r="I47" s="8" t="inlineStr">
        <is>
          <t>ME</t>
        </is>
      </c>
    </row>
    <row r="48">
      <c r="A48" s="8" t="inlineStr">
        <is>
          <t>Afrika Selatan</t>
        </is>
      </c>
      <c r="B48" s="9" t="n">
        <v>62.406907</v>
      </c>
      <c r="C48" s="9" t="n"/>
      <c r="D48" s="9" t="n">
        <v>50.023534</v>
      </c>
      <c r="E48" s="9" t="n">
        <v>86.501154</v>
      </c>
      <c r="F48" s="9" t="n"/>
      <c r="G48" s="9" t="n">
        <v>75.92404399999999</v>
      </c>
      <c r="H48" s="9" t="n">
        <v>-25.90051</v>
      </c>
      <c r="I48" s="8" t="inlineStr">
        <is>
          <t>IE</t>
        </is>
      </c>
    </row>
    <row r="49">
      <c r="A49" s="8" t="inlineStr">
        <is>
          <t>Denmark</t>
        </is>
      </c>
      <c r="B49" s="9" t="n">
        <v>81.044939</v>
      </c>
      <c r="C49" s="9" t="n"/>
      <c r="D49" s="9" t="n">
        <v>48.374205</v>
      </c>
      <c r="E49" s="9" t="n">
        <v>43.850503</v>
      </c>
      <c r="F49" s="9" t="n"/>
      <c r="G49" s="9" t="n">
        <v>18.263094</v>
      </c>
      <c r="H49" s="9" t="n">
        <v>30.111111</v>
      </c>
      <c r="I49" s="8" t="inlineStr">
        <is>
          <t>IE</t>
        </is>
      </c>
    </row>
    <row r="50">
      <c r="A50" s="8" t="inlineStr">
        <is>
          <t>Makau</t>
        </is>
      </c>
      <c r="B50" s="9" t="n">
        <v>68.072873</v>
      </c>
      <c r="C50" s="9" t="n"/>
      <c r="D50" s="9" t="n">
        <v>46.817963</v>
      </c>
      <c r="E50" s="9" t="n">
        <v>59.728487</v>
      </c>
      <c r="F50" s="9" t="n"/>
      <c r="G50" s="9" t="n">
        <v>114.524702</v>
      </c>
      <c r="H50" s="9" t="n">
        <v>-67.706739</v>
      </c>
      <c r="I50" s="8" t="inlineStr">
        <is>
          <t>ME</t>
        </is>
      </c>
    </row>
    <row r="51">
      <c r="A51" s="8" t="inlineStr">
        <is>
          <t>Iran</t>
        </is>
      </c>
      <c r="B51" s="9" t="n">
        <v>28.103772</v>
      </c>
      <c r="C51" s="9" t="n"/>
      <c r="D51" s="9" t="n">
        <v>46.363577</v>
      </c>
      <c r="E51" s="9" t="n">
        <v>9.348267999999999</v>
      </c>
      <c r="F51" s="9" t="n"/>
      <c r="G51" s="9" t="n">
        <v>21.220901</v>
      </c>
      <c r="H51" s="9" t="n">
        <v>25.142676</v>
      </c>
      <c r="I51" s="8" t="inlineStr">
        <is>
          <t>ME</t>
        </is>
      </c>
    </row>
    <row r="52">
      <c r="A52" s="8" t="inlineStr">
        <is>
          <t>Irlandia</t>
        </is>
      </c>
      <c r="B52" s="9" t="n">
        <v>45.783752</v>
      </c>
      <c r="C52" s="9" t="n"/>
      <c r="D52" s="9" t="n">
        <v>42.839887</v>
      </c>
      <c r="E52" s="9" t="n">
        <v>22.190101</v>
      </c>
      <c r="F52" s="9" t="n"/>
      <c r="G52" s="9" t="n">
        <v>37.634193</v>
      </c>
      <c r="H52" s="9" t="n">
        <v>5.205693999999994</v>
      </c>
      <c r="I52" s="8" t="inlineStr">
        <is>
          <t>IE</t>
        </is>
      </c>
    </row>
    <row r="53">
      <c r="A53" s="8" t="inlineStr">
        <is>
          <t>Nigeria</t>
        </is>
      </c>
      <c r="B53" s="9" t="n">
        <v>41.557445</v>
      </c>
      <c r="C53" s="9" t="n"/>
      <c r="D53" s="9" t="n">
        <v>38.879061</v>
      </c>
      <c r="E53" s="9" t="n">
        <v>14.444428</v>
      </c>
      <c r="F53" s="9" t="n"/>
      <c r="G53" s="9" t="n">
        <v>7.513727</v>
      </c>
      <c r="H53" s="9" t="n">
        <v>31.365334</v>
      </c>
      <c r="I53" s="8" t="inlineStr">
        <is>
          <t>ME</t>
        </is>
      </c>
    </row>
    <row r="54">
      <c r="A54" s="8" t="inlineStr">
        <is>
          <t>Polandia</t>
        </is>
      </c>
      <c r="B54" s="9" t="n">
        <v>98.205923</v>
      </c>
      <c r="C54" s="9" t="n">
        <v>12.545734</v>
      </c>
      <c r="D54" s="9" t="n">
        <v>36.942615</v>
      </c>
      <c r="E54" s="9" t="n">
        <v>46.455837</v>
      </c>
      <c r="F54" s="9" t="n">
        <v>14.600638</v>
      </c>
      <c r="G54" s="9" t="n">
        <v>36.440697</v>
      </c>
      <c r="H54" s="9" t="n">
        <v>0.5019180000000034</v>
      </c>
      <c r="I54" s="8" t="inlineStr">
        <is>
          <t>IE</t>
        </is>
      </c>
    </row>
    <row r="55">
      <c r="A55" s="8" t="inlineStr">
        <is>
          <t>Pakistan</t>
        </is>
      </c>
      <c r="B55" s="9" t="n">
        <v>105.315444</v>
      </c>
      <c r="C55" s="9" t="n"/>
      <c r="D55" s="9" t="n">
        <v>35.132021</v>
      </c>
      <c r="E55" s="9" t="n">
        <v>29.511387</v>
      </c>
      <c r="F55" s="9" t="n"/>
      <c r="G55" s="9" t="n">
        <v>11.111299</v>
      </c>
      <c r="H55" s="9" t="n">
        <v>24.020722</v>
      </c>
      <c r="I55" s="8" t="inlineStr">
        <is>
          <t>IE</t>
        </is>
      </c>
    </row>
    <row r="56">
      <c r="A56" s="8" t="inlineStr">
        <is>
          <t>Argentina</t>
        </is>
      </c>
      <c r="B56" s="9" t="n">
        <v>67.354708</v>
      </c>
      <c r="C56" s="9" t="n"/>
      <c r="D56" s="9" t="n">
        <v>32.678847</v>
      </c>
      <c r="E56" s="9" t="n">
        <v>113.719582</v>
      </c>
      <c r="F56" s="9" t="n">
        <v>3.6</v>
      </c>
      <c r="G56" s="9" t="n">
        <v>38.935436</v>
      </c>
      <c r="H56" s="9" t="n">
        <v>-6.256589000000005</v>
      </c>
      <c r="I56" s="8" t="inlineStr">
        <is>
          <t>IE</t>
        </is>
      </c>
    </row>
    <row r="57">
      <c r="A57" s="8" t="inlineStr">
        <is>
          <t>Chile</t>
        </is>
      </c>
      <c r="B57" s="9" t="n">
        <v>39.548745</v>
      </c>
      <c r="C57" s="9" t="n"/>
      <c r="D57" s="9" t="n">
        <v>32.67497</v>
      </c>
      <c r="E57" s="9" t="n">
        <v>29.960265</v>
      </c>
      <c r="F57" s="9" t="n"/>
      <c r="G57" s="9" t="n">
        <v>19.92656</v>
      </c>
      <c r="H57" s="9" t="n">
        <v>12.74841</v>
      </c>
      <c r="I57" s="8" t="inlineStr">
        <is>
          <t>IE</t>
        </is>
      </c>
    </row>
    <row r="58">
      <c r="A58" s="8" t="inlineStr">
        <is>
          <t>Austria</t>
        </is>
      </c>
      <c r="B58" s="9" t="n">
        <v>37.437135</v>
      </c>
      <c r="C58" s="9" t="n"/>
      <c r="D58" s="9" t="n">
        <v>30.065289</v>
      </c>
      <c r="E58" s="9" t="n">
        <v>113.271049</v>
      </c>
      <c r="F58" s="9" t="n"/>
      <c r="G58" s="9" t="n">
        <v>29.334312</v>
      </c>
      <c r="H58" s="9" t="n">
        <v>0.7309769999999993</v>
      </c>
      <c r="I58" s="8" t="inlineStr">
        <is>
          <t>IE</t>
        </is>
      </c>
    </row>
    <row r="59">
      <c r="A59" s="8" t="inlineStr">
        <is>
          <t>Peru</t>
        </is>
      </c>
      <c r="B59" s="9" t="n">
        <v>32.776218</v>
      </c>
      <c r="C59" s="9" t="n"/>
      <c r="D59" s="9" t="n">
        <v>29.109599</v>
      </c>
      <c r="E59" s="9" t="n">
        <v>27.348661</v>
      </c>
      <c r="F59" s="9" t="n"/>
      <c r="G59" s="9" t="n">
        <v>12.202992</v>
      </c>
      <c r="H59" s="9" t="n">
        <v>16.906607</v>
      </c>
      <c r="I59" s="8" t="inlineStr">
        <is>
          <t>IE</t>
        </is>
      </c>
    </row>
    <row r="60">
      <c r="A60" s="8" t="inlineStr">
        <is>
          <t>Oman</t>
        </is>
      </c>
      <c r="B60" s="9" t="n">
        <v>25.696531</v>
      </c>
      <c r="C60" s="9" t="n"/>
      <c r="D60" s="9" t="n">
        <v>28.585208</v>
      </c>
      <c r="E60" s="9" t="n">
        <v>3.727902</v>
      </c>
      <c r="F60" s="9" t="n"/>
      <c r="G60" s="9" t="n">
        <v>10.335066</v>
      </c>
      <c r="H60" s="9" t="n">
        <v>18.250142</v>
      </c>
      <c r="I60" s="8" t="inlineStr">
        <is>
          <t>ME</t>
        </is>
      </c>
    </row>
    <row r="61">
      <c r="A61" s="8" t="inlineStr">
        <is>
          <t>Azerbaijan</t>
        </is>
      </c>
      <c r="B61" s="9" t="n">
        <v>34.390571</v>
      </c>
      <c r="C61" s="9" t="n"/>
      <c r="D61" s="9" t="n">
        <v>27.173151</v>
      </c>
      <c r="E61" s="9" t="n">
        <v>4.319775</v>
      </c>
      <c r="F61" s="9" t="n"/>
      <c r="G61" s="9" t="n">
        <v>9.44896</v>
      </c>
      <c r="H61" s="9" t="n">
        <v>17.724191</v>
      </c>
      <c r="I61" s="8" t="inlineStr">
        <is>
          <t>ME</t>
        </is>
      </c>
    </row>
    <row r="62">
      <c r="A62" s="8" t="inlineStr">
        <is>
          <t>Kamboja</t>
        </is>
      </c>
      <c r="B62" s="9" t="n">
        <v>31.593221</v>
      </c>
      <c r="C62" s="9" t="n"/>
      <c r="D62" s="9" t="n">
        <v>26.983243</v>
      </c>
      <c r="E62" s="9" t="n">
        <v>16.609416</v>
      </c>
      <c r="F62" s="9" t="n"/>
      <c r="G62" s="9" t="n">
        <v>20.010557</v>
      </c>
      <c r="H62" s="9" t="n">
        <v>6.972686000000003</v>
      </c>
      <c r="I62" s="8" t="inlineStr">
        <is>
          <t>IE</t>
        </is>
      </c>
    </row>
    <row r="63">
      <c r="A63" s="8" t="inlineStr">
        <is>
          <t>Colombia</t>
        </is>
      </c>
      <c r="B63" s="9" t="n">
        <v>45.142627</v>
      </c>
      <c r="C63" s="9" t="n"/>
      <c r="D63" s="9" t="n">
        <v>26.874134</v>
      </c>
      <c r="E63" s="9" t="n">
        <v>11.560043</v>
      </c>
      <c r="F63" s="9" t="n"/>
      <c r="G63" s="9" t="n">
        <v>8.115379000000001</v>
      </c>
      <c r="H63" s="9" t="n">
        <v>18.758755</v>
      </c>
      <c r="I63" s="8" t="inlineStr">
        <is>
          <t>IE</t>
        </is>
      </c>
    </row>
    <row r="64">
      <c r="A64" s="8" t="inlineStr">
        <is>
          <t>Portugal</t>
        </is>
      </c>
      <c r="B64" s="9" t="n">
        <v>24.420026</v>
      </c>
      <c r="C64" s="9" t="n"/>
      <c r="D64" s="9" t="n">
        <v>24.654308</v>
      </c>
      <c r="E64" s="9" t="n">
        <v>53.288996</v>
      </c>
      <c r="F64" s="9" t="n"/>
      <c r="G64" s="9" t="n">
        <v>36.553459</v>
      </c>
      <c r="H64" s="9" t="n">
        <v>-11.899151</v>
      </c>
      <c r="I64" s="8" t="inlineStr">
        <is>
          <t>IE</t>
        </is>
      </c>
    </row>
    <row r="65">
      <c r="A65" s="8" t="inlineStr">
        <is>
          <t>Nepal</t>
        </is>
      </c>
      <c r="B65" s="9" t="n">
        <v>27.117126</v>
      </c>
      <c r="C65" s="9" t="n"/>
      <c r="D65" s="9" t="n">
        <v>23.941666</v>
      </c>
      <c r="E65" s="9" t="n">
        <v>6.364834</v>
      </c>
      <c r="F65" s="9" t="n"/>
      <c r="G65" s="9" t="n">
        <v>4.872422</v>
      </c>
      <c r="H65" s="9" t="n">
        <v>19.069244</v>
      </c>
      <c r="I65" s="8" t="inlineStr">
        <is>
          <t>IE</t>
        </is>
      </c>
    </row>
    <row r="66">
      <c r="A66" s="8" t="inlineStr">
        <is>
          <t>Rumania</t>
        </is>
      </c>
      <c r="B66" s="9" t="n">
        <v>36.311463</v>
      </c>
      <c r="C66" s="9" t="n">
        <v>11.139746</v>
      </c>
      <c r="D66" s="9" t="n">
        <v>22.162626</v>
      </c>
      <c r="E66" s="9" t="n">
        <v>14.250431</v>
      </c>
      <c r="F66" s="9" t="n">
        <v>1.51414</v>
      </c>
      <c r="G66" s="9" t="n">
        <v>7.503258</v>
      </c>
      <c r="H66" s="9" t="n">
        <v>14.659368</v>
      </c>
      <c r="I66" s="8" t="inlineStr">
        <is>
          <t>IE</t>
        </is>
      </c>
    </row>
    <row r="67">
      <c r="A67" s="8" t="inlineStr">
        <is>
          <t>Kazakhstan</t>
        </is>
      </c>
      <c r="B67" s="9" t="n">
        <v>35.77745</v>
      </c>
      <c r="C67" s="9" t="n"/>
      <c r="D67" s="9" t="n">
        <v>21.16084</v>
      </c>
      <c r="E67" s="9" t="n">
        <v>8.972803000000001</v>
      </c>
      <c r="F67" s="9" t="n"/>
      <c r="G67" s="9" t="n">
        <v>20.947688</v>
      </c>
      <c r="H67" s="9" t="n">
        <v>0.2131520000000009</v>
      </c>
      <c r="I67" s="8" t="inlineStr">
        <is>
          <t>IE</t>
        </is>
      </c>
    </row>
    <row r="68">
      <c r="A68" s="8" t="inlineStr">
        <is>
          <t>Kenya</t>
        </is>
      </c>
      <c r="B68" s="9" t="n">
        <v>37.621972</v>
      </c>
      <c r="C68" s="9" t="n"/>
      <c r="D68" s="9" t="n">
        <v>20.335697</v>
      </c>
      <c r="E68" s="9" t="n">
        <v>3.634787</v>
      </c>
      <c r="F68" s="9" t="n"/>
      <c r="G68" s="9" t="n">
        <v>5.351153</v>
      </c>
      <c r="H68" s="9" t="n">
        <v>14.984544</v>
      </c>
      <c r="I68" s="8" t="inlineStr">
        <is>
          <t>IE</t>
        </is>
      </c>
    </row>
    <row r="69">
      <c r="A69" s="8" t="inlineStr">
        <is>
          <t>Democratic People’s Republic of Korea</t>
        </is>
      </c>
      <c r="B69" s="9" t="n">
        <v>19.802981</v>
      </c>
      <c r="C69" s="9" t="n"/>
      <c r="D69" s="9" t="n">
        <v>19.802981</v>
      </c>
      <c r="E69" s="9" t="n">
        <v>6.471749</v>
      </c>
      <c r="F69" s="9" t="n"/>
      <c r="G69" s="9" t="n">
        <v>6.471749</v>
      </c>
      <c r="H69" s="9" t="n">
        <v>13.331232</v>
      </c>
      <c r="I69" s="8" t="inlineStr">
        <is>
          <t>IE</t>
        </is>
      </c>
    </row>
    <row r="70">
      <c r="A70" s="8" t="inlineStr">
        <is>
          <t>Sri Lanka</t>
        </is>
      </c>
      <c r="B70" s="9" t="n">
        <v>29.126481</v>
      </c>
      <c r="C70" s="9" t="n"/>
      <c r="D70" s="9" t="n">
        <v>19.767416</v>
      </c>
      <c r="E70" s="9" t="n">
        <v>13.645176</v>
      </c>
      <c r="F70" s="9" t="n"/>
      <c r="G70" s="9" t="n">
        <v>18.664197</v>
      </c>
      <c r="H70" s="9" t="n">
        <v>1.103218999999999</v>
      </c>
      <c r="I70" s="8" t="inlineStr">
        <is>
          <t>IE</t>
        </is>
      </c>
    </row>
    <row r="71">
      <c r="A71" s="8" t="inlineStr">
        <is>
          <t>Israel</t>
        </is>
      </c>
      <c r="B71" s="9" t="n">
        <v>40.244183</v>
      </c>
      <c r="C71" s="9" t="n"/>
      <c r="D71" s="9" t="n">
        <v>18.999786</v>
      </c>
      <c r="E71" s="9" t="n">
        <v>19.635505</v>
      </c>
      <c r="F71" s="9" t="n"/>
      <c r="G71" s="9" t="n">
        <v>15.799299</v>
      </c>
      <c r="H71" s="9" t="n">
        <v>3.200487000000001</v>
      </c>
      <c r="I71" s="8" t="inlineStr">
        <is>
          <t>IE</t>
        </is>
      </c>
    </row>
    <row r="72">
      <c r="A72" s="8" t="inlineStr">
        <is>
          <t>Myanmar</t>
        </is>
      </c>
      <c r="B72" s="9" t="n">
        <v>33.473301</v>
      </c>
      <c r="C72" s="9" t="n"/>
      <c r="D72" s="9" t="n">
        <v>18.204135</v>
      </c>
      <c r="E72" s="9" t="n">
        <v>13.980585</v>
      </c>
      <c r="F72" s="9" t="n"/>
      <c r="G72" s="9" t="n">
        <v>6.042079</v>
      </c>
      <c r="H72" s="9" t="n">
        <v>12.162056</v>
      </c>
      <c r="I72" s="8" t="inlineStr">
        <is>
          <t>IE</t>
        </is>
      </c>
    </row>
    <row r="73">
      <c r="A73" s="8" t="inlineStr">
        <is>
          <t>Yunani</t>
        </is>
      </c>
      <c r="B73" s="9" t="n">
        <v>41.350341</v>
      </c>
      <c r="C73" s="9" t="n">
        <v>7.570701</v>
      </c>
      <c r="D73" s="9" t="n">
        <v>17.480183</v>
      </c>
      <c r="E73" s="9" t="n">
        <v>191.753403</v>
      </c>
      <c r="F73" s="9" t="n">
        <v>1.081529</v>
      </c>
      <c r="G73" s="9" t="n">
        <v>68.901824</v>
      </c>
      <c r="H73" s="9" t="n">
        <v>-51.42164100000001</v>
      </c>
      <c r="I73" s="8" t="inlineStr">
        <is>
          <t>IE</t>
        </is>
      </c>
    </row>
    <row r="74">
      <c r="A74" s="8" t="inlineStr">
        <is>
          <t>Mesir</t>
        </is>
      </c>
      <c r="B74" s="9" t="n">
        <v>34.940013</v>
      </c>
      <c r="C74" s="9" t="n"/>
      <c r="D74" s="9" t="n">
        <v>17.470038</v>
      </c>
      <c r="E74" s="9" t="n">
        <v>123.659263</v>
      </c>
      <c r="F74" s="9" t="n"/>
      <c r="G74" s="9" t="n">
        <v>126.843357</v>
      </c>
      <c r="H74" s="9" t="n">
        <v>-109.373319</v>
      </c>
      <c r="I74" s="8" t="inlineStr">
        <is>
          <t>IE</t>
        </is>
      </c>
    </row>
    <row r="75">
      <c r="A75" s="8" t="inlineStr">
        <is>
          <t>Uzbekistan</t>
        </is>
      </c>
      <c r="B75" s="9" t="n">
        <v>18.113548</v>
      </c>
      <c r="C75" s="9" t="n"/>
      <c r="D75" s="9" t="n">
        <v>16.960047</v>
      </c>
      <c r="E75" s="9" t="n">
        <v>3.911959</v>
      </c>
      <c r="F75" s="9" t="n"/>
      <c r="G75" s="9" t="n">
        <v>11.009179</v>
      </c>
      <c r="H75" s="9" t="n">
        <v>5.950868</v>
      </c>
      <c r="I75" s="8" t="inlineStr">
        <is>
          <t>IE</t>
        </is>
      </c>
    </row>
    <row r="76">
      <c r="A76" s="8" t="inlineStr">
        <is>
          <t>Algeria</t>
        </is>
      </c>
      <c r="B76" s="9" t="n">
        <v>24.753155</v>
      </c>
      <c r="C76" s="9" t="n"/>
      <c r="D76" s="9" t="n">
        <v>16.802468</v>
      </c>
      <c r="E76" s="9" t="n">
        <v>1.441203</v>
      </c>
      <c r="F76" s="9" t="n"/>
      <c r="G76" s="9" t="n">
        <v>1.171881</v>
      </c>
      <c r="H76" s="9" t="n">
        <v>15.630587</v>
      </c>
      <c r="I76" s="8" t="inlineStr">
        <is>
          <t>ME</t>
        </is>
      </c>
    </row>
    <row r="77">
      <c r="A77" s="8" t="inlineStr">
        <is>
          <t>Ecuador</t>
        </is>
      </c>
      <c r="B77" s="9" t="n">
        <v>26.446119</v>
      </c>
      <c r="C77" s="9" t="n"/>
      <c r="D77" s="9" t="n">
        <v>16.414488</v>
      </c>
      <c r="E77" s="9" t="n">
        <v>16.406064</v>
      </c>
      <c r="F77" s="9" t="n"/>
      <c r="G77" s="9" t="n">
        <v>13.038261</v>
      </c>
      <c r="H77" s="9" t="n">
        <v>3.376226999999998</v>
      </c>
      <c r="I77" s="8" t="inlineStr">
        <is>
          <t>IE</t>
        </is>
      </c>
    </row>
    <row r="78">
      <c r="A78" s="8" t="inlineStr">
        <is>
          <t>Côte d’Ivoire</t>
        </is>
      </c>
      <c r="B78" s="9" t="n">
        <v>16.007678</v>
      </c>
      <c r="C78" s="9" t="n"/>
      <c r="D78" s="9" t="n">
        <v>15.05391</v>
      </c>
      <c r="E78" s="9" t="n">
        <v>1.640378</v>
      </c>
      <c r="F78" s="9" t="n"/>
      <c r="G78" s="9" t="n">
        <v>3.374669</v>
      </c>
      <c r="H78" s="9" t="n">
        <v>11.679241</v>
      </c>
      <c r="I78" s="8" t="inlineStr">
        <is>
          <t>ME</t>
        </is>
      </c>
    </row>
    <row r="79">
      <c r="A79" s="8" t="inlineStr">
        <is>
          <t>Yordania</t>
        </is>
      </c>
      <c r="B79" s="9" t="n">
        <v>24.05437</v>
      </c>
      <c r="C79" s="9" t="n"/>
      <c r="D79" s="9" t="n">
        <v>14.090358</v>
      </c>
      <c r="E79" s="9" t="n">
        <v>38.650654</v>
      </c>
      <c r="F79" s="9" t="n"/>
      <c r="G79" s="9" t="n">
        <v>53.289633</v>
      </c>
      <c r="H79" s="9" t="n">
        <v>-39.199275</v>
      </c>
      <c r="I79" s="8" t="inlineStr">
        <is>
          <t>IE</t>
        </is>
      </c>
    </row>
    <row r="80">
      <c r="A80" s="8" t="inlineStr">
        <is>
          <t>Sudan</t>
        </is>
      </c>
      <c r="B80" s="9" t="n">
        <v>25.496361</v>
      </c>
      <c r="C80" s="9" t="n"/>
      <c r="D80" s="9" t="n">
        <v>14.062096</v>
      </c>
      <c r="E80" s="9" t="n">
        <v>8.808979000000001</v>
      </c>
      <c r="F80" s="9" t="n"/>
      <c r="G80" s="9" t="n">
        <v>11.630525</v>
      </c>
      <c r="H80" s="9" t="n">
        <v>2.431571</v>
      </c>
      <c r="I80" s="8" t="inlineStr">
        <is>
          <t>IE</t>
        </is>
      </c>
    </row>
    <row r="81">
      <c r="A81" s="8" t="inlineStr">
        <is>
          <t>Bahrain</t>
        </is>
      </c>
      <c r="B81" s="9" t="n">
        <v>10.713294</v>
      </c>
      <c r="C81" s="9" t="n"/>
      <c r="D81" s="9" t="n">
        <v>13.608307</v>
      </c>
      <c r="E81" s="9" t="n">
        <v>4.53404</v>
      </c>
      <c r="F81" s="9" t="n"/>
      <c r="G81" s="9" t="n">
        <v>15.376328</v>
      </c>
      <c r="H81" s="9" t="n">
        <v>-1.768021000000001</v>
      </c>
      <c r="I81" s="8" t="inlineStr">
        <is>
          <t>ME</t>
        </is>
      </c>
    </row>
    <row r="82">
      <c r="A82" s="8" t="inlineStr">
        <is>
          <t>Senegal</t>
        </is>
      </c>
      <c r="B82" s="9" t="n">
        <v>18.784519</v>
      </c>
      <c r="C82" s="9" t="n"/>
      <c r="D82" s="9" t="n">
        <v>13.259212</v>
      </c>
      <c r="E82" s="9" t="n">
        <v>3.946801</v>
      </c>
      <c r="F82" s="9" t="n"/>
      <c r="G82" s="9" t="n">
        <v>3.220191</v>
      </c>
      <c r="H82" s="9" t="n">
        <v>10.039021</v>
      </c>
      <c r="I82" s="8" t="inlineStr">
        <is>
          <t>IE</t>
        </is>
      </c>
    </row>
    <row r="83">
      <c r="A83" s="8" t="inlineStr">
        <is>
          <t>Morocco</t>
        </is>
      </c>
      <c r="B83" s="9" t="n">
        <v>15.004753</v>
      </c>
      <c r="C83" s="9" t="n"/>
      <c r="D83" s="9" t="n">
        <v>12.46951</v>
      </c>
      <c r="E83" s="9" t="n">
        <v>45.193971</v>
      </c>
      <c r="F83" s="9" t="n"/>
      <c r="G83" s="9" t="n">
        <v>46.20414</v>
      </c>
      <c r="H83" s="9" t="n">
        <v>-33.73463</v>
      </c>
      <c r="I83" s="8" t="inlineStr">
        <is>
          <t>IE</t>
        </is>
      </c>
    </row>
    <row r="84">
      <c r="A84" s="8" t="inlineStr">
        <is>
          <t>Ethiopia</t>
        </is>
      </c>
      <c r="B84" s="9" t="n">
        <v>6.228109</v>
      </c>
      <c r="C84" s="9" t="n"/>
      <c r="D84" s="9" t="n">
        <v>12.463328</v>
      </c>
      <c r="E84" s="9" t="n">
        <v>2.049144</v>
      </c>
      <c r="F84" s="9" t="n"/>
      <c r="G84" s="9" t="n">
        <v>5.052019</v>
      </c>
      <c r="H84" s="9" t="n">
        <v>7.411309000000001</v>
      </c>
      <c r="I84" s="8" t="inlineStr">
        <is>
          <t>IE</t>
        </is>
      </c>
    </row>
    <row r="85">
      <c r="A85" s="8" t="inlineStr">
        <is>
          <t>Hungaria</t>
        </is>
      </c>
      <c r="B85" s="9" t="n">
        <v>21.181055</v>
      </c>
      <c r="C85" s="9" t="n">
        <v>6.056561</v>
      </c>
      <c r="D85" s="9" t="n">
        <v>12.449046</v>
      </c>
      <c r="E85" s="9" t="n">
        <v>23.804543</v>
      </c>
      <c r="F85" s="9" t="n">
        <v>0.432612</v>
      </c>
      <c r="G85" s="9" t="n">
        <v>9.516557000000001</v>
      </c>
      <c r="H85" s="9" t="n">
        <v>2.932488999999999</v>
      </c>
      <c r="I85" s="8" t="inlineStr">
        <is>
          <t>IE</t>
        </is>
      </c>
    </row>
    <row r="86">
      <c r="A86" s="8" t="inlineStr">
        <is>
          <t>Luksemburg</t>
        </is>
      </c>
      <c r="B86" s="9" t="n">
        <v>25.004101</v>
      </c>
      <c r="C86" s="9" t="n"/>
      <c r="D86" s="9" t="n">
        <v>11.416283</v>
      </c>
      <c r="E86" s="9" t="n">
        <v>13.714062</v>
      </c>
      <c r="F86" s="9" t="n"/>
      <c r="G86" s="9" t="n">
        <v>3.75016</v>
      </c>
      <c r="H86" s="9" t="n">
        <v>7.666123</v>
      </c>
      <c r="I86" s="8" t="inlineStr">
        <is>
          <t>IE</t>
        </is>
      </c>
    </row>
    <row r="87">
      <c r="A87" s="8" t="inlineStr">
        <is>
          <t>Estonia</t>
        </is>
      </c>
      <c r="B87" s="9" t="n">
        <v>25.786158</v>
      </c>
      <c r="C87" s="9" t="n">
        <v>5.62395</v>
      </c>
      <c r="D87" s="9" t="n">
        <v>11.407653</v>
      </c>
      <c r="E87" s="9" t="n">
        <v>15.411335</v>
      </c>
      <c r="F87" s="9" t="n">
        <v>0.973376</v>
      </c>
      <c r="G87" s="9" t="n">
        <v>4.761485</v>
      </c>
      <c r="H87" s="9" t="n">
        <v>6.646167999999999</v>
      </c>
      <c r="I87" s="8" t="inlineStr">
        <is>
          <t>IE</t>
        </is>
      </c>
    </row>
    <row r="88">
      <c r="A88" s="8" t="inlineStr">
        <is>
          <t>Mozambique</t>
        </is>
      </c>
      <c r="B88" s="9" t="n">
        <v>20.289673</v>
      </c>
      <c r="C88" s="9" t="n"/>
      <c r="D88" s="9" t="n">
        <v>11.178395</v>
      </c>
      <c r="E88" s="9" t="n">
        <v>1.449804</v>
      </c>
      <c r="F88" s="9" t="n"/>
      <c r="G88" s="9" t="n">
        <v>1.009541</v>
      </c>
      <c r="H88" s="9" t="n">
        <v>10.168854</v>
      </c>
      <c r="I88" s="8" t="inlineStr">
        <is>
          <t>IE</t>
        </is>
      </c>
    </row>
    <row r="89">
      <c r="A89" s="8" t="inlineStr">
        <is>
          <t>Papua Nugini</t>
        </is>
      </c>
      <c r="B89" s="9" t="n">
        <v>18.015929</v>
      </c>
      <c r="C89" s="9" t="n"/>
      <c r="D89" s="9" t="n">
        <v>10.572486</v>
      </c>
      <c r="E89" s="9" t="n">
        <v>15.935088</v>
      </c>
      <c r="F89" s="9" t="n"/>
      <c r="G89" s="9" t="n">
        <v>10.825902</v>
      </c>
      <c r="H89" s="9" t="n">
        <v>-0.2534159999999996</v>
      </c>
      <c r="I89" s="8" t="inlineStr">
        <is>
          <t>IE</t>
        </is>
      </c>
    </row>
    <row r="90">
      <c r="A90" s="8" t="inlineStr">
        <is>
          <t>Libya</t>
        </is>
      </c>
      <c r="B90" s="9" t="n">
        <v>6.810323</v>
      </c>
      <c r="C90" s="9" t="n"/>
      <c r="D90" s="9" t="n">
        <v>10.253052</v>
      </c>
      <c r="E90" s="9" t="n">
        <v>0.888718</v>
      </c>
      <c r="F90" s="9" t="n"/>
      <c r="G90" s="9" t="n">
        <v>0.636611</v>
      </c>
      <c r="H90" s="9" t="n">
        <v>9.616441</v>
      </c>
      <c r="I90" s="8" t="inlineStr">
        <is>
          <t>IE</t>
        </is>
      </c>
    </row>
    <row r="91">
      <c r="A91" s="8" t="inlineStr">
        <is>
          <t>Ghana</t>
        </is>
      </c>
      <c r="B91" s="9" t="n">
        <v>10.142677</v>
      </c>
      <c r="C91" s="9" t="n"/>
      <c r="D91" s="9" t="n">
        <v>9.807582999999999</v>
      </c>
      <c r="E91" s="9" t="n">
        <v>2.968434</v>
      </c>
      <c r="F91" s="9" t="n"/>
      <c r="G91" s="9" t="n">
        <v>4.831729</v>
      </c>
      <c r="H91" s="9" t="n">
        <v>4.975853999999999</v>
      </c>
      <c r="I91" s="8" t="inlineStr">
        <is>
          <t>IE</t>
        </is>
      </c>
    </row>
    <row r="92">
      <c r="A92" s="8" t="inlineStr">
        <is>
          <t>Mongolia</t>
        </is>
      </c>
      <c r="B92" s="9" t="n">
        <v>6.401983</v>
      </c>
      <c r="C92" s="9" t="n"/>
      <c r="D92" s="9" t="n">
        <v>9.610097</v>
      </c>
      <c r="E92" s="9" t="n">
        <v>1.387162</v>
      </c>
      <c r="F92" s="9" t="n"/>
      <c r="G92" s="9" t="n">
        <v>1.319935</v>
      </c>
      <c r="H92" s="9" t="n">
        <v>8.290161999999999</v>
      </c>
      <c r="I92" s="8" t="inlineStr">
        <is>
          <t>IE</t>
        </is>
      </c>
    </row>
    <row r="93">
      <c r="A93" s="8" t="inlineStr">
        <is>
          <t>Bangladesh</t>
        </is>
      </c>
      <c r="B93" s="9" t="n">
        <v>29.971117</v>
      </c>
      <c r="C93" s="9" t="n"/>
      <c r="D93" s="9" t="n">
        <v>8.972531</v>
      </c>
      <c r="E93" s="9" t="n">
        <v>1.600953</v>
      </c>
      <c r="F93" s="9" t="n"/>
      <c r="G93" s="9" t="n">
        <v>1.449247</v>
      </c>
      <c r="H93" s="9" t="n">
        <v>7.523284</v>
      </c>
      <c r="I93" s="8" t="inlineStr">
        <is>
          <t>IE</t>
        </is>
      </c>
    </row>
    <row r="94">
      <c r="A94" s="8" t="inlineStr">
        <is>
          <t>Uruguay</t>
        </is>
      </c>
      <c r="B94" s="9" t="n">
        <v>7.372424</v>
      </c>
      <c r="C94" s="9" t="n"/>
      <c r="D94" s="9" t="n">
        <v>8.681497999999999</v>
      </c>
      <c r="E94" s="9" t="n">
        <v>12.871393</v>
      </c>
      <c r="F94" s="9" t="n"/>
      <c r="G94" s="9" t="n">
        <v>11.284432</v>
      </c>
      <c r="H94" s="9" t="n">
        <v>-2.602934000000001</v>
      </c>
      <c r="I94" s="8" t="inlineStr">
        <is>
          <t>IE</t>
        </is>
      </c>
    </row>
    <row r="95">
      <c r="A95" s="8" t="inlineStr">
        <is>
          <t>Panama</t>
        </is>
      </c>
      <c r="B95" s="9" t="n">
        <v>8.727544999999999</v>
      </c>
      <c r="C95" s="9" t="n"/>
      <c r="D95" s="9" t="n">
        <v>8.646941999999999</v>
      </c>
      <c r="E95" s="9" t="n">
        <v>44.63286</v>
      </c>
      <c r="F95" s="9" t="n"/>
      <c r="G95" s="9" t="n">
        <v>30.125971</v>
      </c>
      <c r="H95" s="9" t="n">
        <v>-21.479029</v>
      </c>
      <c r="I95" s="8" t="inlineStr">
        <is>
          <t>IE</t>
        </is>
      </c>
    </row>
    <row r="96">
      <c r="A96" s="8" t="inlineStr">
        <is>
          <t>Ceko</t>
        </is>
      </c>
      <c r="B96" s="9" t="n">
        <v>26.695471</v>
      </c>
      <c r="C96" s="9" t="n">
        <v>0.432612</v>
      </c>
      <c r="D96" s="9" t="n">
        <v>8.569706999999999</v>
      </c>
      <c r="E96" s="9" t="n">
        <v>34.314461</v>
      </c>
      <c r="F96" s="9" t="n">
        <v>1.297835</v>
      </c>
      <c r="G96" s="9" t="n">
        <v>7.543489</v>
      </c>
      <c r="H96" s="9" t="n">
        <v>1.026217999999999</v>
      </c>
      <c r="I96" s="8" t="inlineStr">
        <is>
          <t>IE</t>
        </is>
      </c>
    </row>
    <row r="97">
      <c r="A97" s="8" t="inlineStr">
        <is>
          <t>Kroasia</t>
        </is>
      </c>
      <c r="B97" s="9" t="n">
        <v>9.813947000000001</v>
      </c>
      <c r="C97" s="9" t="n"/>
      <c r="D97" s="9" t="n">
        <v>8.539865000000001</v>
      </c>
      <c r="E97" s="9" t="n">
        <v>48.39958</v>
      </c>
      <c r="F97" s="9" t="n"/>
      <c r="G97" s="9" t="n">
        <v>9.781668</v>
      </c>
      <c r="H97" s="9" t="n">
        <v>-1.241802999999999</v>
      </c>
      <c r="I97" s="8" t="inlineStr">
        <is>
          <t>IE</t>
        </is>
      </c>
    </row>
    <row r="98">
      <c r="A98" s="8" t="inlineStr">
        <is>
          <t>Guatemala</t>
        </is>
      </c>
      <c r="B98" s="9" t="n">
        <v>12.982884</v>
      </c>
      <c r="C98" s="9" t="n"/>
      <c r="D98" s="9" t="n">
        <v>8.379046000000001</v>
      </c>
      <c r="E98" s="9" t="n">
        <v>3.442106</v>
      </c>
      <c r="F98" s="9" t="n"/>
      <c r="G98" s="9" t="n">
        <v>2.787208</v>
      </c>
      <c r="H98" s="9" t="n">
        <v>5.591838000000001</v>
      </c>
      <c r="I98" s="8" t="inlineStr">
        <is>
          <t>IE</t>
        </is>
      </c>
    </row>
    <row r="99">
      <c r="A99" s="8" t="inlineStr">
        <is>
          <t>Costa Rica</t>
        </is>
      </c>
      <c r="B99" s="9" t="n">
        <v>9.677580000000001</v>
      </c>
      <c r="C99" s="9" t="n"/>
      <c r="D99" s="9" t="n">
        <v>8.026680000000001</v>
      </c>
      <c r="E99" s="9" t="n">
        <v>9.039769</v>
      </c>
      <c r="F99" s="9" t="n"/>
      <c r="G99" s="9" t="n">
        <v>5.924899</v>
      </c>
      <c r="H99" s="9" t="n">
        <v>2.101781000000001</v>
      </c>
      <c r="I99" s="8" t="inlineStr">
        <is>
          <t>IE</t>
        </is>
      </c>
    </row>
    <row r="100">
      <c r="A100" s="8" t="inlineStr">
        <is>
          <t>Lebanon</t>
        </is>
      </c>
      <c r="B100" s="9" t="n">
        <v>4.501553</v>
      </c>
      <c r="C100" s="9" t="n"/>
      <c r="D100" s="9" t="n">
        <v>7.773212</v>
      </c>
      <c r="E100" s="9" t="n">
        <v>0.955365</v>
      </c>
      <c r="F100" s="9" t="n"/>
      <c r="G100" s="9" t="n">
        <v>2.732644</v>
      </c>
      <c r="H100" s="9" t="n">
        <v>5.040568</v>
      </c>
      <c r="I100" s="8" t="inlineStr">
        <is>
          <t>IE</t>
        </is>
      </c>
    </row>
    <row r="101">
      <c r="A101" s="8" t="inlineStr">
        <is>
          <t>Palestinian Authority or West Bank and Gaza Strip</t>
        </is>
      </c>
      <c r="B101" s="9" t="n">
        <v>13.045642</v>
      </c>
      <c r="C101" s="9" t="n"/>
      <c r="D101" s="9" t="n">
        <v>7.714524</v>
      </c>
      <c r="E101" s="9" t="n">
        <v>0.722741</v>
      </c>
      <c r="F101" s="9" t="n"/>
      <c r="G101" s="9" t="n">
        <v>1.01324</v>
      </c>
      <c r="H101" s="9" t="n">
        <v>6.701284</v>
      </c>
      <c r="I101" s="8" t="inlineStr">
        <is>
          <t>IE</t>
        </is>
      </c>
    </row>
    <row r="102">
      <c r="A102" s="8" t="inlineStr">
        <is>
          <t>Tanzania</t>
        </is>
      </c>
      <c r="B102" s="9" t="n">
        <v>9.293462999999999</v>
      </c>
      <c r="C102" s="9" t="n"/>
      <c r="D102" s="9" t="n">
        <v>7.265778</v>
      </c>
      <c r="E102" s="9" t="n">
        <v>34.662574</v>
      </c>
      <c r="F102" s="9" t="n"/>
      <c r="G102" s="9" t="n">
        <v>33.491046</v>
      </c>
      <c r="H102" s="9" t="n">
        <v>-26.225268</v>
      </c>
      <c r="I102" s="8" t="inlineStr">
        <is>
          <t>IE</t>
        </is>
      </c>
    </row>
    <row r="103">
      <c r="A103" s="8" t="inlineStr">
        <is>
          <t>Armenia</t>
        </is>
      </c>
      <c r="B103" s="9" t="n">
        <v>3.420618</v>
      </c>
      <c r="C103" s="9" t="n"/>
      <c r="D103" s="9" t="n">
        <v>7.206931</v>
      </c>
      <c r="E103" s="9" t="n">
        <v>1.440667</v>
      </c>
      <c r="F103" s="9" t="n"/>
      <c r="G103" s="9" t="n">
        <v>2.938769</v>
      </c>
      <c r="H103" s="9" t="n">
        <v>4.268162</v>
      </c>
      <c r="I103" s="8" t="inlineStr">
        <is>
          <t>IE</t>
        </is>
      </c>
    </row>
    <row r="104">
      <c r="A104" s="8" t="inlineStr">
        <is>
          <t>Maldives</t>
        </is>
      </c>
      <c r="B104" s="9" t="n">
        <v>4.42796</v>
      </c>
      <c r="C104" s="9" t="n"/>
      <c r="D104" s="9" t="n">
        <v>7.143363</v>
      </c>
      <c r="E104" s="9" t="n">
        <v>13.29094</v>
      </c>
      <c r="F104" s="9" t="n"/>
      <c r="G104" s="9" t="n">
        <v>18.823614</v>
      </c>
      <c r="H104" s="9" t="n">
        <v>-11.680251</v>
      </c>
      <c r="I104" s="8" t="inlineStr">
        <is>
          <t>IE/ME</t>
        </is>
      </c>
    </row>
    <row r="105">
      <c r="A105" s="8" t="inlineStr">
        <is>
          <t>Mauritius</t>
        </is>
      </c>
      <c r="B105" s="9" t="n">
        <v>2.475239</v>
      </c>
      <c r="C105" s="9" t="n"/>
      <c r="D105" s="9" t="n">
        <v>6.975272</v>
      </c>
      <c r="E105" s="9" t="n">
        <v>1.882212</v>
      </c>
      <c r="F105" s="9" t="n"/>
      <c r="G105" s="9" t="n">
        <v>6.343371</v>
      </c>
      <c r="H105" s="9" t="n">
        <v>0.631901</v>
      </c>
      <c r="I105" s="8" t="inlineStr">
        <is>
          <t>IE</t>
        </is>
      </c>
    </row>
    <row r="106">
      <c r="A106" s="8" t="inlineStr">
        <is>
          <t>Bolivia</t>
        </is>
      </c>
      <c r="B106" s="9" t="n">
        <v>8.429004000000001</v>
      </c>
      <c r="C106" s="9" t="n"/>
      <c r="D106" s="9" t="n">
        <v>6.899538</v>
      </c>
      <c r="E106" s="9" t="n">
        <v>5.650542</v>
      </c>
      <c r="F106" s="9" t="n"/>
      <c r="G106" s="9" t="n">
        <v>4.172422</v>
      </c>
      <c r="H106" s="9" t="n">
        <v>2.727116</v>
      </c>
      <c r="I106" s="8" t="inlineStr">
        <is>
          <t>IE</t>
        </is>
      </c>
    </row>
    <row r="107">
      <c r="A107" s="8" t="inlineStr">
        <is>
          <t>Latvia</t>
        </is>
      </c>
      <c r="B107" s="9" t="n">
        <v>14.962501</v>
      </c>
      <c r="C107" s="9" t="n">
        <v>3.244586</v>
      </c>
      <c r="D107" s="9" t="n">
        <v>6.880036</v>
      </c>
      <c r="E107" s="9" t="n">
        <v>9.389728</v>
      </c>
      <c r="F107" s="9" t="n"/>
      <c r="G107" s="9" t="n">
        <v>3.343344</v>
      </c>
      <c r="H107" s="9" t="n">
        <v>3.536692</v>
      </c>
      <c r="I107" s="8" t="inlineStr">
        <is>
          <t>IE</t>
        </is>
      </c>
    </row>
    <row r="108">
      <c r="A108" s="8" t="inlineStr">
        <is>
          <t>Dominican Republic</t>
        </is>
      </c>
      <c r="B108" s="9" t="n">
        <v>10.465147</v>
      </c>
      <c r="C108" s="9" t="n"/>
      <c r="D108" s="9" t="n">
        <v>6.516071</v>
      </c>
      <c r="E108" s="9" t="n">
        <v>49.242191</v>
      </c>
      <c r="F108" s="9" t="n"/>
      <c r="G108" s="9" t="n">
        <v>41.391948</v>
      </c>
      <c r="H108" s="9" t="n">
        <v>-34.875877</v>
      </c>
      <c r="I108" s="8" t="inlineStr">
        <is>
          <t>IE</t>
        </is>
      </c>
    </row>
    <row r="109">
      <c r="A109" s="8" t="inlineStr">
        <is>
          <t>Yaman</t>
        </is>
      </c>
      <c r="B109" s="9" t="n">
        <v>8.451826000000001</v>
      </c>
      <c r="C109" s="9" t="n"/>
      <c r="D109" s="9" t="n">
        <v>6.514326</v>
      </c>
      <c r="E109" s="9" t="n">
        <v>0.029619</v>
      </c>
      <c r="F109" s="9" t="n"/>
      <c r="G109" s="9" t="n">
        <v>0.04442</v>
      </c>
      <c r="H109" s="9" t="n">
        <v>6.469906</v>
      </c>
      <c r="I109" s="8" t="inlineStr">
        <is>
          <t>IE</t>
        </is>
      </c>
    </row>
    <row r="110">
      <c r="A110" s="8" t="inlineStr">
        <is>
          <t>Georgia</t>
        </is>
      </c>
      <c r="B110" s="9" t="n">
        <v>11.676729</v>
      </c>
      <c r="C110" s="9" t="n"/>
      <c r="D110" s="9" t="n">
        <v>6.439356</v>
      </c>
      <c r="E110" s="9" t="n">
        <v>3.59648</v>
      </c>
      <c r="F110" s="9" t="n"/>
      <c r="G110" s="9" t="n">
        <v>3.858183</v>
      </c>
      <c r="H110" s="9" t="n">
        <v>2.581173</v>
      </c>
      <c r="I110" s="8" t="inlineStr">
        <is>
          <t>IE</t>
        </is>
      </c>
    </row>
    <row r="111">
      <c r="A111" s="8" t="inlineStr">
        <is>
          <t>Somalia</t>
        </is>
      </c>
      <c r="B111" s="9" t="n">
        <v>6.030778</v>
      </c>
      <c r="C111" s="9" t="n"/>
      <c r="D111" s="9" t="n">
        <v>6.311138</v>
      </c>
      <c r="E111" s="9" t="n">
        <v>1.829443</v>
      </c>
      <c r="F111" s="9" t="n"/>
      <c r="G111" s="9" t="n">
        <v>3.984723</v>
      </c>
      <c r="H111" s="9" t="n">
        <v>2.326415</v>
      </c>
      <c r="I111" s="8" t="inlineStr">
        <is>
          <t>ME</t>
        </is>
      </c>
    </row>
    <row r="112">
      <c r="A112" s="8" t="inlineStr">
        <is>
          <t>Venezuela</t>
        </is>
      </c>
      <c r="B112" s="9" t="n">
        <v>10.489574</v>
      </c>
      <c r="C112" s="9" t="n"/>
      <c r="D112" s="9" t="n">
        <v>6.261762</v>
      </c>
      <c r="E112" s="9" t="n">
        <v>1.734968</v>
      </c>
      <c r="F112" s="9" t="n"/>
      <c r="G112" s="9" t="n">
        <v>1.315588</v>
      </c>
      <c r="H112" s="9" t="n">
        <v>4.946174</v>
      </c>
      <c r="I112" s="8" t="inlineStr">
        <is>
          <t>IE</t>
        </is>
      </c>
    </row>
    <row r="113">
      <c r="A113" s="8" t="inlineStr">
        <is>
          <t>Angola</t>
        </is>
      </c>
      <c r="B113" s="9" t="n">
        <v>1.9906</v>
      </c>
      <c r="C113" s="9" t="n"/>
      <c r="D113" s="9" t="n">
        <v>5.96001</v>
      </c>
      <c r="E113" s="9" t="n">
        <v>2.401288</v>
      </c>
      <c r="F113" s="9" t="n"/>
      <c r="G113" s="9" t="n">
        <v>2.248541</v>
      </c>
      <c r="H113" s="9" t="n">
        <v>3.711469</v>
      </c>
      <c r="I113" s="8" t="inlineStr">
        <is>
          <t>ME</t>
        </is>
      </c>
    </row>
    <row r="114">
      <c r="A114" s="8" t="inlineStr">
        <is>
          <t>El Salvador</t>
        </is>
      </c>
      <c r="B114" s="9" t="n">
        <v>7.11224</v>
      </c>
      <c r="C114" s="9" t="n"/>
      <c r="D114" s="9" t="n">
        <v>5.837832</v>
      </c>
      <c r="E114" s="9" t="n">
        <v>2.565656</v>
      </c>
      <c r="F114" s="9" t="n"/>
      <c r="G114" s="9" t="n">
        <v>2.892609</v>
      </c>
      <c r="H114" s="9" t="n">
        <v>2.945222999999999</v>
      </c>
      <c r="I114" s="8" t="inlineStr">
        <is>
          <t>IE</t>
        </is>
      </c>
    </row>
    <row r="115">
      <c r="A115" s="8" t="inlineStr">
        <is>
          <t>Slovenia</t>
        </is>
      </c>
      <c r="B115" s="9" t="n">
        <v>18.558613</v>
      </c>
      <c r="C115" s="9" t="n">
        <v>0.432612</v>
      </c>
      <c r="D115" s="9" t="n">
        <v>5.63284</v>
      </c>
      <c r="E115" s="9" t="n">
        <v>8.596533000000001</v>
      </c>
      <c r="F115" s="9" t="n">
        <v>0.108153</v>
      </c>
      <c r="G115" s="9" t="n">
        <v>1.54157</v>
      </c>
      <c r="H115" s="9" t="n">
        <v>4.09127</v>
      </c>
      <c r="I115" s="8" t="inlineStr">
        <is>
          <t>IE</t>
        </is>
      </c>
    </row>
    <row r="116">
      <c r="A116" s="8" t="inlineStr">
        <is>
          <t>Bulgaria</t>
        </is>
      </c>
      <c r="B116" s="9" t="n">
        <v>21.155202</v>
      </c>
      <c r="C116" s="9" t="n">
        <v>0.216306</v>
      </c>
      <c r="D116" s="9" t="n">
        <v>5.458386</v>
      </c>
      <c r="E116" s="9" t="n">
        <v>26.296546</v>
      </c>
      <c r="F116" s="9" t="n">
        <v>4.217962</v>
      </c>
      <c r="G116" s="9" t="n">
        <v>19.543245</v>
      </c>
      <c r="H116" s="9" t="n">
        <v>-14.084859</v>
      </c>
      <c r="I116" s="8" t="inlineStr">
        <is>
          <t>IE</t>
        </is>
      </c>
    </row>
    <row r="117">
      <c r="A117" s="8" t="inlineStr">
        <is>
          <t>Honduras</t>
        </is>
      </c>
      <c r="B117" s="9" t="n">
        <v>11.52543</v>
      </c>
      <c r="C117" s="9" t="n"/>
      <c r="D117" s="9" t="n">
        <v>5.361773</v>
      </c>
      <c r="E117" s="9" t="n">
        <v>0.978694</v>
      </c>
      <c r="F117" s="9" t="n"/>
      <c r="G117" s="9" t="n">
        <v>1.018461</v>
      </c>
      <c r="H117" s="9" t="n">
        <v>4.343312</v>
      </c>
      <c r="I117" s="8" t="inlineStr">
        <is>
          <t>IE</t>
        </is>
      </c>
    </row>
    <row r="118">
      <c r="A118" s="8" t="inlineStr">
        <is>
          <t>New Caledonia</t>
        </is>
      </c>
      <c r="B118" s="9" t="n">
        <v>7.412991</v>
      </c>
      <c r="C118" s="9" t="n"/>
      <c r="D118" s="9" t="n">
        <v>5.33786</v>
      </c>
      <c r="E118" s="9" t="n">
        <v>4.533402</v>
      </c>
      <c r="F118" s="9" t="n"/>
      <c r="G118" s="9" t="n">
        <v>3.745035</v>
      </c>
      <c r="H118" s="9" t="n">
        <v>1.592825</v>
      </c>
      <c r="I118" s="8" t="inlineStr">
        <is>
          <t>IE</t>
        </is>
      </c>
    </row>
    <row r="119">
      <c r="A119" s="8" t="inlineStr">
        <is>
          <t>Fiji</t>
        </is>
      </c>
      <c r="B119" s="9" t="n">
        <v>6.851152</v>
      </c>
      <c r="C119" s="9" t="n"/>
      <c r="D119" s="9" t="n">
        <v>5.264143</v>
      </c>
      <c r="E119" s="9" t="n">
        <v>14.767281</v>
      </c>
      <c r="F119" s="9" t="n"/>
      <c r="G119" s="9" t="n">
        <v>10.068102</v>
      </c>
      <c r="H119" s="9" t="n">
        <v>-4.803959</v>
      </c>
      <c r="I119" s="8" t="inlineStr">
        <is>
          <t>IE</t>
        </is>
      </c>
    </row>
    <row r="120">
      <c r="A120" s="8" t="inlineStr">
        <is>
          <t>Timor-Leste</t>
        </is>
      </c>
      <c r="B120" s="9" t="n">
        <v>3.1468</v>
      </c>
      <c r="C120" s="9" t="n"/>
      <c r="D120" s="9" t="n">
        <v>5.249689</v>
      </c>
      <c r="E120" s="9" t="n">
        <v>3.035293</v>
      </c>
      <c r="F120" s="9" t="n"/>
      <c r="G120" s="9" t="n">
        <v>2.630068</v>
      </c>
      <c r="H120" s="9" t="n">
        <v>2.619621</v>
      </c>
      <c r="I120" s="8" t="inlineStr">
        <is>
          <t>IE</t>
        </is>
      </c>
    </row>
    <row r="121">
      <c r="A121" s="8" t="inlineStr">
        <is>
          <t>Siprus</t>
        </is>
      </c>
      <c r="B121" s="9" t="n">
        <v>9.905393</v>
      </c>
      <c r="C121" s="9" t="n"/>
      <c r="D121" s="9" t="n">
        <v>5.014201</v>
      </c>
      <c r="E121" s="9" t="n">
        <v>82.747005</v>
      </c>
      <c r="F121" s="9" t="n"/>
      <c r="G121" s="9" t="n">
        <v>19.006888</v>
      </c>
      <c r="H121" s="9" t="n">
        <v>-13.992687</v>
      </c>
      <c r="I121" s="8" t="inlineStr">
        <is>
          <t>IE</t>
        </is>
      </c>
    </row>
    <row r="122">
      <c r="A122" s="8" t="inlineStr">
        <is>
          <t>Uganda</t>
        </is>
      </c>
      <c r="B122" s="9" t="n">
        <v>2.140371</v>
      </c>
      <c r="C122" s="9" t="n"/>
      <c r="D122" s="9" t="n">
        <v>4.889874</v>
      </c>
      <c r="E122" s="9" t="n">
        <v>1.917069</v>
      </c>
      <c r="F122" s="9" t="n"/>
      <c r="G122" s="9" t="n">
        <v>4.615448</v>
      </c>
      <c r="H122" s="9" t="n">
        <v>0.2744260000000001</v>
      </c>
      <c r="I122" s="8" t="inlineStr">
        <is>
          <t>IE</t>
        </is>
      </c>
    </row>
    <row r="123">
      <c r="A123" s="8" t="inlineStr">
        <is>
          <t>Jamaica</t>
        </is>
      </c>
      <c r="B123" s="9" t="n">
        <v>8.035361999999999</v>
      </c>
      <c r="C123" s="9" t="n"/>
      <c r="D123" s="9" t="n">
        <v>4.661376</v>
      </c>
      <c r="E123" s="9" t="n">
        <v>4.383424</v>
      </c>
      <c r="F123" s="9" t="n"/>
      <c r="G123" s="9" t="n">
        <v>3.779851</v>
      </c>
      <c r="H123" s="9" t="n">
        <v>0.8815249999999999</v>
      </c>
      <c r="I123" s="8" t="inlineStr">
        <is>
          <t>IE</t>
        </is>
      </c>
    </row>
    <row r="124">
      <c r="A124" s="8" t="inlineStr">
        <is>
          <t>Laos</t>
        </is>
      </c>
      <c r="B124" s="9" t="n">
        <v>3.689369</v>
      </c>
      <c r="C124" s="9" t="n"/>
      <c r="D124" s="9" t="n">
        <v>4.620343</v>
      </c>
      <c r="E124" s="9" t="n">
        <v>10.422105</v>
      </c>
      <c r="F124" s="9" t="n"/>
      <c r="G124" s="9" t="n">
        <v>10.687192</v>
      </c>
      <c r="H124" s="9" t="n">
        <v>-6.066848999999999</v>
      </c>
      <c r="I124" s="8" t="inlineStr">
        <is>
          <t>IE</t>
        </is>
      </c>
    </row>
    <row r="125">
      <c r="A125" s="8" t="inlineStr">
        <is>
          <t>Namibia</t>
        </is>
      </c>
      <c r="B125" s="9" t="n">
        <v>7.60428</v>
      </c>
      <c r="C125" s="9" t="n"/>
      <c r="D125" s="9" t="n">
        <v>4.378417</v>
      </c>
      <c r="E125" s="9" t="n">
        <v>4.53947</v>
      </c>
      <c r="F125" s="9" t="n"/>
      <c r="G125" s="9" t="n">
        <v>4.005069</v>
      </c>
      <c r="H125" s="9" t="n">
        <v>0.373348</v>
      </c>
      <c r="I125" s="8" t="inlineStr">
        <is>
          <t>IE</t>
        </is>
      </c>
    </row>
    <row r="126">
      <c r="A126" s="8" t="inlineStr">
        <is>
          <t>Trinidad and Tobago</t>
        </is>
      </c>
      <c r="B126" s="9" t="n">
        <v>5.175971</v>
      </c>
      <c r="C126" s="9" t="n"/>
      <c r="D126" s="9" t="n">
        <v>4.364301</v>
      </c>
      <c r="E126" s="9" t="n">
        <v>0.395547</v>
      </c>
      <c r="F126" s="9" t="n"/>
      <c r="G126" s="9" t="n">
        <v>0.301879</v>
      </c>
      <c r="H126" s="9" t="n">
        <v>4.062422</v>
      </c>
      <c r="I126" s="8" t="inlineStr">
        <is>
          <t>IE</t>
        </is>
      </c>
    </row>
    <row r="127">
      <c r="A127" s="8" t="inlineStr">
        <is>
          <t>Bahamas</t>
        </is>
      </c>
      <c r="B127" s="9" t="n">
        <v>6.953117</v>
      </c>
      <c r="C127" s="9" t="n"/>
      <c r="D127" s="9" t="n">
        <v>4.304059</v>
      </c>
      <c r="E127" s="9" t="n">
        <v>18.293411</v>
      </c>
      <c r="F127" s="9" t="n"/>
      <c r="G127" s="9" t="n">
        <v>21.350621</v>
      </c>
      <c r="H127" s="9" t="n">
        <v>-17.046562</v>
      </c>
      <c r="I127" s="8" t="inlineStr">
        <is>
          <t>ME</t>
        </is>
      </c>
    </row>
    <row r="128">
      <c r="A128" s="8" t="inlineStr">
        <is>
          <t>Kosovo</t>
        </is>
      </c>
      <c r="B128" s="9" t="n">
        <v>7.649123</v>
      </c>
      <c r="C128" s="9" t="n"/>
      <c r="D128" s="9" t="n">
        <v>4.145961</v>
      </c>
      <c r="E128" s="9" t="n">
        <v>10.687792</v>
      </c>
      <c r="F128" s="9" t="n"/>
      <c r="G128" s="9" t="n">
        <v>6.412385</v>
      </c>
      <c r="H128" s="9" t="n">
        <v>-2.266424</v>
      </c>
      <c r="I128" s="8" t="inlineStr">
        <is>
          <t>ME</t>
        </is>
      </c>
    </row>
    <row r="129">
      <c r="A129" s="8" t="inlineStr">
        <is>
          <t>Kyrgyzstan</t>
        </is>
      </c>
      <c r="B129" s="9" t="n">
        <v>4.586125</v>
      </c>
      <c r="C129" s="9" t="n"/>
      <c r="D129" s="9" t="n">
        <v>4.008799</v>
      </c>
      <c r="E129" s="9" t="n">
        <v>2.226719</v>
      </c>
      <c r="F129" s="9" t="n"/>
      <c r="G129" s="9" t="n">
        <v>3.018421</v>
      </c>
      <c r="H129" s="9" t="n">
        <v>0.9903779999999998</v>
      </c>
      <c r="I129" s="8" t="inlineStr">
        <is>
          <t>IE</t>
        </is>
      </c>
    </row>
    <row r="130">
      <c r="A130" s="8" t="inlineStr">
        <is>
          <t>Paraguay</t>
        </is>
      </c>
      <c r="B130" s="9" t="n">
        <v>5.197503</v>
      </c>
      <c r="C130" s="9" t="n"/>
      <c r="D130" s="9" t="n">
        <v>3.973002</v>
      </c>
      <c r="E130" s="9" t="n">
        <v>19.490414</v>
      </c>
      <c r="F130" s="9" t="n"/>
      <c r="G130" s="9" t="n">
        <v>11.364444</v>
      </c>
      <c r="H130" s="9" t="n">
        <v>-7.391442000000001</v>
      </c>
      <c r="I130" s="8" t="inlineStr">
        <is>
          <t>IE</t>
        </is>
      </c>
    </row>
    <row r="131">
      <c r="A131" s="8" t="inlineStr">
        <is>
          <t>Cameroon</t>
        </is>
      </c>
      <c r="B131" s="9" t="n">
        <v>3.798174</v>
      </c>
      <c r="C131" s="9" t="n"/>
      <c r="D131" s="9" t="n">
        <v>3.800983</v>
      </c>
      <c r="E131" s="9" t="n">
        <v>1.996391</v>
      </c>
      <c r="F131" s="9" t="n"/>
      <c r="G131" s="9" t="n">
        <v>2.774569</v>
      </c>
      <c r="H131" s="9" t="n">
        <v>1.026414</v>
      </c>
      <c r="I131" s="8" t="inlineStr">
        <is>
          <t>IE</t>
        </is>
      </c>
    </row>
    <row r="132">
      <c r="A132" s="8" t="inlineStr">
        <is>
          <t>Turkmenistan</t>
        </is>
      </c>
      <c r="B132" s="9" t="n">
        <v>3.148244</v>
      </c>
      <c r="C132" s="9" t="n"/>
      <c r="D132" s="9" t="n">
        <v>3.780408</v>
      </c>
      <c r="E132" s="9" t="n">
        <v>0.046727</v>
      </c>
      <c r="F132" s="9" t="n"/>
      <c r="G132" s="9" t="n">
        <v>0.340663</v>
      </c>
      <c r="H132" s="9" t="n">
        <v>3.439745</v>
      </c>
      <c r="I132" s="8" t="inlineStr">
        <is>
          <t>IE</t>
        </is>
      </c>
    </row>
    <row r="133">
      <c r="A133" s="8" t="inlineStr">
        <is>
          <t>Serbia</t>
        </is>
      </c>
      <c r="B133" s="9" t="n">
        <v>6.244734</v>
      </c>
      <c r="C133" s="9" t="n"/>
      <c r="D133" s="9" t="n">
        <v>3.645853</v>
      </c>
      <c r="E133" s="9" t="n">
        <v>5.07293</v>
      </c>
      <c r="F133" s="9" t="n"/>
      <c r="G133" s="9" t="n">
        <v>5.067522</v>
      </c>
      <c r="H133" s="9" t="n">
        <v>-1.421669000000001</v>
      </c>
      <c r="I133" s="8" t="inlineStr">
        <is>
          <t>IE</t>
        </is>
      </c>
    </row>
    <row r="134">
      <c r="A134" s="8" t="inlineStr">
        <is>
          <t>Malawi</t>
        </is>
      </c>
      <c r="B134" s="9" t="n">
        <v>4.142594</v>
      </c>
      <c r="C134" s="9" t="n"/>
      <c r="D134" s="9" t="n">
        <v>3.389639</v>
      </c>
      <c r="E134" s="9" t="n">
        <v>4.360075</v>
      </c>
      <c r="F134" s="9" t="n"/>
      <c r="G134" s="9" t="n">
        <v>2.511777</v>
      </c>
      <c r="H134" s="9" t="n">
        <v>0.8778619999999999</v>
      </c>
      <c r="I134" s="8" t="inlineStr">
        <is>
          <t>IE</t>
        </is>
      </c>
    </row>
    <row r="135">
      <c r="A135" s="8" t="inlineStr">
        <is>
          <t>Syrian Arab Republic</t>
        </is>
      </c>
      <c r="B135" s="9" t="n">
        <v>5.121446</v>
      </c>
      <c r="C135" s="9" t="n"/>
      <c r="D135" s="9" t="n">
        <v>3.374411</v>
      </c>
      <c r="E135" s="9" t="n">
        <v>0.7344309999999999</v>
      </c>
      <c r="F135" s="9" t="n"/>
      <c r="G135" s="9" t="n">
        <v>0.43567</v>
      </c>
      <c r="H135" s="9" t="n">
        <v>2.938741</v>
      </c>
      <c r="I135" s="8" t="inlineStr">
        <is>
          <t>IE</t>
        </is>
      </c>
    </row>
    <row r="136">
      <c r="A136" s="8" t="inlineStr">
        <is>
          <t>Haiti</t>
        </is>
      </c>
      <c r="B136" s="9" t="n">
        <v>7.010927</v>
      </c>
      <c r="C136" s="9" t="n"/>
      <c r="D136" s="9" t="n">
        <v>3.329011</v>
      </c>
      <c r="E136" s="9" t="n">
        <v>2.418233</v>
      </c>
      <c r="F136" s="9" t="n"/>
      <c r="G136" s="9" t="n">
        <v>1.6572</v>
      </c>
      <c r="H136" s="9" t="n">
        <v>1.671811</v>
      </c>
      <c r="I136" s="8" t="inlineStr">
        <is>
          <t>IE</t>
        </is>
      </c>
    </row>
    <row r="137">
      <c r="A137" s="8" t="inlineStr">
        <is>
          <t>Tunisia</t>
        </is>
      </c>
      <c r="B137" s="9" t="n">
        <v>10.231873</v>
      </c>
      <c r="C137" s="9" t="n"/>
      <c r="D137" s="9" t="n">
        <v>3.245424</v>
      </c>
      <c r="E137" s="9" t="n">
        <v>54.416186</v>
      </c>
      <c r="F137" s="9" t="n"/>
      <c r="G137" s="9" t="n">
        <v>13.806827</v>
      </c>
      <c r="H137" s="9" t="n">
        <v>-10.561403</v>
      </c>
      <c r="I137" s="8" t="inlineStr">
        <is>
          <t>IE</t>
        </is>
      </c>
    </row>
    <row r="138">
      <c r="A138" s="8" t="inlineStr">
        <is>
          <t>Botswana</t>
        </is>
      </c>
      <c r="B138" s="9" t="n">
        <v>3.833607</v>
      </c>
      <c r="C138" s="9" t="n"/>
      <c r="D138" s="9" t="n">
        <v>3.210149</v>
      </c>
      <c r="E138" s="9" t="n">
        <v>1.505312</v>
      </c>
      <c r="F138" s="9" t="n"/>
      <c r="G138" s="9" t="n">
        <v>2.449595</v>
      </c>
      <c r="H138" s="9" t="n">
        <v>0.760554</v>
      </c>
      <c r="I138" s="8" t="inlineStr">
        <is>
          <t>ME</t>
        </is>
      </c>
    </row>
    <row r="139">
      <c r="A139" s="8" t="inlineStr">
        <is>
          <t>Islandia</t>
        </is>
      </c>
      <c r="B139" s="9" t="n">
        <v>5.075631</v>
      </c>
      <c r="C139" s="9" t="n"/>
      <c r="D139" s="9" t="n">
        <v>3.19772</v>
      </c>
      <c r="E139" s="9" t="n">
        <v>11.991322</v>
      </c>
      <c r="F139" s="9" t="n"/>
      <c r="G139" s="9" t="n">
        <v>5.051826</v>
      </c>
      <c r="H139" s="9" t="n">
        <v>-1.854106</v>
      </c>
      <c r="I139" s="8" t="inlineStr">
        <is>
          <t>IE</t>
        </is>
      </c>
    </row>
    <row r="140">
      <c r="A140" s="8" t="inlineStr">
        <is>
          <t>Cuba</t>
        </is>
      </c>
      <c r="B140" s="9" t="n">
        <v>3.322754</v>
      </c>
      <c r="C140" s="9" t="n"/>
      <c r="D140" s="9" t="n">
        <v>3.146356</v>
      </c>
      <c r="E140" s="9" t="n">
        <v>14.147899</v>
      </c>
      <c r="F140" s="9" t="n"/>
      <c r="G140" s="9" t="n">
        <v>9.227695000000001</v>
      </c>
      <c r="H140" s="9" t="n">
        <v>-6.081339000000001</v>
      </c>
      <c r="I140" s="8" t="inlineStr">
        <is>
          <t>IE</t>
        </is>
      </c>
    </row>
    <row r="141">
      <c r="A141" s="8" t="inlineStr">
        <is>
          <t>Tajikistan</t>
        </is>
      </c>
      <c r="B141" s="9" t="n">
        <v>6.410786</v>
      </c>
      <c r="C141" s="9" t="n"/>
      <c r="D141" s="9" t="n">
        <v>3.137497</v>
      </c>
      <c r="E141" s="9" t="n">
        <v>0.05879</v>
      </c>
      <c r="F141" s="9" t="n"/>
      <c r="G141" s="9" t="n">
        <v>0.040544</v>
      </c>
      <c r="H141" s="9" t="n">
        <v>3.096953</v>
      </c>
      <c r="I141" s="8" t="inlineStr">
        <is>
          <t>IE</t>
        </is>
      </c>
    </row>
    <row r="142">
      <c r="A142" s="8" t="inlineStr">
        <is>
          <t>French Polynesia</t>
        </is>
      </c>
      <c r="B142" s="9" t="n">
        <v>3.949767</v>
      </c>
      <c r="C142" s="9" t="n"/>
      <c r="D142" s="9" t="n">
        <v>2.923977</v>
      </c>
      <c r="E142" s="9" t="n">
        <v>0.697906</v>
      </c>
      <c r="F142" s="9" t="n"/>
      <c r="G142" s="9" t="n">
        <v>1.920124</v>
      </c>
      <c r="H142" s="9" t="n">
        <v>1.003853</v>
      </c>
      <c r="I142" s="8" t="inlineStr">
        <is>
          <t>IE</t>
        </is>
      </c>
    </row>
    <row r="143">
      <c r="A143" s="8" t="inlineStr">
        <is>
          <t>Albania</t>
        </is>
      </c>
      <c r="B143" s="9" t="n">
        <v>5.014693</v>
      </c>
      <c r="C143" s="9" t="n"/>
      <c r="D143" s="9" t="n">
        <v>2.760496</v>
      </c>
      <c r="E143" s="9" t="n">
        <v>8.205411</v>
      </c>
      <c r="F143" s="9" t="n"/>
      <c r="G143" s="9" t="n">
        <v>2.678025</v>
      </c>
      <c r="H143" s="9" t="n">
        <v>0.08247099999999996</v>
      </c>
      <c r="I143" s="8" t="inlineStr">
        <is>
          <t>IE</t>
        </is>
      </c>
    </row>
    <row r="144">
      <c r="A144" s="8" t="inlineStr">
        <is>
          <t>Gabon</t>
        </is>
      </c>
      <c r="B144" s="9" t="n">
        <v>3.504125</v>
      </c>
      <c r="C144" s="9" t="n"/>
      <c r="D144" s="9" t="n">
        <v>2.614816</v>
      </c>
      <c r="E144" s="9" t="n">
        <v>6.964691</v>
      </c>
      <c r="F144" s="9" t="n"/>
      <c r="G144" s="9" t="n">
        <v>6.123989</v>
      </c>
      <c r="H144" s="9" t="n">
        <v>-3.509173</v>
      </c>
      <c r="I144" s="8" t="inlineStr">
        <is>
          <t>IE</t>
        </is>
      </c>
    </row>
    <row r="145">
      <c r="A145" s="8" t="inlineStr">
        <is>
          <t>North Macedonia</t>
        </is>
      </c>
      <c r="B145" s="9" t="n">
        <v>2.994428</v>
      </c>
      <c r="C145" s="9" t="n"/>
      <c r="D145" s="9" t="n">
        <v>2.585225</v>
      </c>
      <c r="E145" s="9" t="n">
        <v>0.569748</v>
      </c>
      <c r="F145" s="9" t="n"/>
      <c r="G145" s="9" t="n">
        <v>1.100074</v>
      </c>
      <c r="H145" s="9" t="n">
        <v>1.485151</v>
      </c>
      <c r="I145" s="8" t="inlineStr">
        <is>
          <t>IE</t>
        </is>
      </c>
    </row>
    <row r="146">
      <c r="A146" s="8" t="inlineStr">
        <is>
          <t>Nicaragua</t>
        </is>
      </c>
      <c r="B146" s="9" t="n">
        <v>4.575961</v>
      </c>
      <c r="C146" s="9" t="n"/>
      <c r="D146" s="9" t="n">
        <v>2.559563</v>
      </c>
      <c r="E146" s="9" t="n">
        <v>0.744494</v>
      </c>
      <c r="F146" s="9" t="n"/>
      <c r="G146" s="9" t="n">
        <v>0.493691</v>
      </c>
      <c r="H146" s="9" t="n">
        <v>2.065872</v>
      </c>
      <c r="I146" s="8" t="inlineStr">
        <is>
          <t>IE</t>
        </is>
      </c>
    </row>
    <row r="147">
      <c r="A147" s="8" t="inlineStr">
        <is>
          <t>Malta</t>
        </is>
      </c>
      <c r="B147" s="9" t="n">
        <v>2.326508</v>
      </c>
      <c r="C147" s="9" t="n">
        <v>2.054905</v>
      </c>
      <c r="D147" s="9" t="n">
        <v>2.555869</v>
      </c>
      <c r="E147" s="9" t="n">
        <v>32.014816</v>
      </c>
      <c r="F147" s="9" t="n">
        <v>0.540764</v>
      </c>
      <c r="G147" s="9" t="n">
        <v>6.8963</v>
      </c>
      <c r="H147" s="9" t="n">
        <v>-4.340431000000001</v>
      </c>
      <c r="I147" s="8" t="inlineStr">
        <is>
          <t>IE</t>
        </is>
      </c>
    </row>
    <row r="148">
      <c r="A148" s="8" t="inlineStr">
        <is>
          <t>Afghanistan</t>
        </is>
      </c>
      <c r="B148" s="9" t="n">
        <v>3.994652</v>
      </c>
      <c r="C148" s="9" t="n"/>
      <c r="D148" s="9" t="n">
        <v>2.545261</v>
      </c>
      <c r="E148" s="9" t="n">
        <v>2.909627</v>
      </c>
      <c r="F148" s="9" t="n"/>
      <c r="G148" s="9" t="n">
        <v>1.969288</v>
      </c>
      <c r="H148" s="9" t="n">
        <v>0.5759730000000001</v>
      </c>
      <c r="I148" s="8" t="inlineStr">
        <is>
          <t>ME</t>
        </is>
      </c>
    </row>
    <row r="149">
      <c r="A149" s="8" t="inlineStr">
        <is>
          <t>Zimbabwe</t>
        </is>
      </c>
      <c r="B149" s="9" t="n">
        <v>4.075319</v>
      </c>
      <c r="C149" s="9" t="n"/>
      <c r="D149" s="9" t="n">
        <v>2.536837</v>
      </c>
      <c r="E149" s="9" t="n">
        <v>9.389103</v>
      </c>
      <c r="F149" s="9" t="n"/>
      <c r="G149" s="9" t="n">
        <v>4.893512</v>
      </c>
      <c r="H149" s="9" t="n">
        <v>-2.356675000000001</v>
      </c>
      <c r="I149" s="8" t="inlineStr">
        <is>
          <t>IE</t>
        </is>
      </c>
    </row>
    <row r="150">
      <c r="A150" s="8" t="inlineStr">
        <is>
          <t>Lituania</t>
        </is>
      </c>
      <c r="B150" s="9" t="n">
        <v>8.933175</v>
      </c>
      <c r="C150" s="9" t="n">
        <v>1.081529</v>
      </c>
      <c r="D150" s="9" t="n">
        <v>2.512288</v>
      </c>
      <c r="E150" s="9" t="n">
        <v>8.249104000000001</v>
      </c>
      <c r="F150" s="9" t="n">
        <v>0.432612</v>
      </c>
      <c r="G150" s="9" t="n">
        <v>1.355035</v>
      </c>
      <c r="H150" s="9" t="n">
        <v>1.157253</v>
      </c>
      <c r="I150" s="8" t="inlineStr">
        <is>
          <t>IE</t>
        </is>
      </c>
    </row>
    <row r="151">
      <c r="A151" s="8" t="inlineStr">
        <is>
          <t>Tonga</t>
        </is>
      </c>
      <c r="B151" s="9" t="n">
        <v>3.762151</v>
      </c>
      <c r="C151" s="9" t="n"/>
      <c r="D151" s="9" t="n">
        <v>2.475618</v>
      </c>
      <c r="E151" s="9" t="n">
        <v>0.621468</v>
      </c>
      <c r="F151" s="9" t="n"/>
      <c r="G151" s="9" t="n">
        <v>0.447978</v>
      </c>
      <c r="H151" s="9" t="n">
        <v>2.02764</v>
      </c>
      <c r="I151" s="8" t="inlineStr">
        <is>
          <t>IE</t>
        </is>
      </c>
    </row>
    <row r="152">
      <c r="A152" s="8" t="inlineStr">
        <is>
          <t>Madagascar</t>
        </is>
      </c>
      <c r="B152" s="9" t="n">
        <v>1.948161</v>
      </c>
      <c r="C152" s="9" t="n"/>
      <c r="D152" s="9" t="n">
        <v>2.317938</v>
      </c>
      <c r="E152" s="9" t="n">
        <v>3.596935</v>
      </c>
      <c r="F152" s="9" t="n"/>
      <c r="G152" s="9" t="n">
        <v>5.171676</v>
      </c>
      <c r="H152" s="9" t="n">
        <v>-2.853738</v>
      </c>
      <c r="I152" s="8" t="inlineStr">
        <is>
          <t>IE</t>
        </is>
      </c>
    </row>
    <row r="153">
      <c r="A153" s="8" t="inlineStr">
        <is>
          <t>Guyana</t>
        </is>
      </c>
      <c r="B153" s="9" t="n">
        <v>1.87964</v>
      </c>
      <c r="C153" s="9" t="n"/>
      <c r="D153" s="9" t="n">
        <v>2.294324</v>
      </c>
      <c r="E153" s="9" t="n">
        <v>0.257448</v>
      </c>
      <c r="F153" s="9" t="n"/>
      <c r="G153" s="9" t="n">
        <v>0.292655</v>
      </c>
      <c r="H153" s="9" t="n">
        <v>2.001669</v>
      </c>
      <c r="I153" s="8" t="inlineStr">
        <is>
          <t>IE</t>
        </is>
      </c>
    </row>
    <row r="154">
      <c r="A154" s="8" t="inlineStr">
        <is>
          <t>Slowakia</t>
        </is>
      </c>
      <c r="B154" s="9" t="n">
        <v>14.894793</v>
      </c>
      <c r="C154" s="9" t="n">
        <v>0</v>
      </c>
      <c r="D154" s="9" t="n">
        <v>2.272478</v>
      </c>
      <c r="E154" s="9" t="n">
        <v>7.479759</v>
      </c>
      <c r="F154" s="9" t="n">
        <v>0.216306</v>
      </c>
      <c r="G154" s="9" t="n">
        <v>1.74917</v>
      </c>
      <c r="H154" s="9" t="n">
        <v>0.5233080000000001</v>
      </c>
      <c r="I154" s="8" t="inlineStr">
        <is>
          <t>IE</t>
        </is>
      </c>
    </row>
    <row r="155">
      <c r="A155" s="8" t="inlineStr">
        <is>
          <t>Moldova</t>
        </is>
      </c>
      <c r="B155" s="9" t="n">
        <v>2.383959</v>
      </c>
      <c r="C155" s="9" t="n"/>
      <c r="D155" s="9" t="n">
        <v>2.232356</v>
      </c>
      <c r="E155" s="9" t="n">
        <v>3.36852</v>
      </c>
      <c r="F155" s="9" t="n"/>
      <c r="G155" s="9" t="n">
        <v>3.610593</v>
      </c>
      <c r="H155" s="9" t="n">
        <v>-1.378237</v>
      </c>
      <c r="I155" s="8" t="inlineStr">
        <is>
          <t>IE</t>
        </is>
      </c>
    </row>
    <row r="156">
      <c r="A156" s="8" t="inlineStr">
        <is>
          <t>Faroe Islands</t>
        </is>
      </c>
      <c r="B156" s="9" t="n">
        <v>2.6668</v>
      </c>
      <c r="C156" s="9" t="n"/>
      <c r="D156" s="9" t="n">
        <v>2.159566</v>
      </c>
      <c r="E156" s="9" t="n">
        <v>0.034777</v>
      </c>
      <c r="F156" s="9" t="n"/>
      <c r="G156" s="9" t="n">
        <v>0.528007</v>
      </c>
      <c r="H156" s="9" t="n">
        <v>1.631559</v>
      </c>
      <c r="I156" s="8" t="inlineStr">
        <is>
          <t>ME</t>
        </is>
      </c>
    </row>
    <row r="157">
      <c r="A157" s="8" t="inlineStr">
        <is>
          <t>Samoa</t>
        </is>
      </c>
      <c r="B157" s="9" t="n">
        <v>3.580569</v>
      </c>
      <c r="C157" s="9" t="n"/>
      <c r="D157" s="9" t="n">
        <v>2.134975</v>
      </c>
      <c r="E157" s="9" t="n">
        <v>9.720395</v>
      </c>
      <c r="F157" s="9" t="n"/>
      <c r="G157" s="9" t="n">
        <v>5.91199</v>
      </c>
      <c r="H157" s="9" t="n">
        <v>-3.777015</v>
      </c>
      <c r="I157" s="8" t="inlineStr">
        <is>
          <t>IE</t>
        </is>
      </c>
    </row>
    <row r="158">
      <c r="A158" s="8" t="inlineStr">
        <is>
          <t>Congo</t>
        </is>
      </c>
      <c r="B158" s="9" t="n">
        <v>2.395121</v>
      </c>
      <c r="C158" s="9" t="n"/>
      <c r="D158" s="9" t="n">
        <v>1.927921</v>
      </c>
      <c r="E158" s="9" t="n">
        <v>3.824759</v>
      </c>
      <c r="F158" s="9" t="n"/>
      <c r="G158" s="9" t="n">
        <v>2.217531</v>
      </c>
      <c r="H158" s="9" t="n">
        <v>-0.2896100000000001</v>
      </c>
      <c r="I158" s="8" t="inlineStr">
        <is>
          <t>IE</t>
        </is>
      </c>
    </row>
    <row r="159">
      <c r="A159" s="8" t="inlineStr">
        <is>
          <t>Equatorial Guinea</t>
        </is>
      </c>
      <c r="B159" s="9" t="n">
        <v>2.250442</v>
      </c>
      <c r="C159" s="9" t="n"/>
      <c r="D159" s="9" t="n">
        <v>1.906116</v>
      </c>
      <c r="E159" s="9" t="n">
        <v>0.53257</v>
      </c>
      <c r="F159" s="9" t="n"/>
      <c r="G159" s="9" t="n">
        <v>2.396331</v>
      </c>
      <c r="H159" s="9" t="n">
        <v>-0.4902150000000001</v>
      </c>
      <c r="I159" s="8" t="inlineStr">
        <is>
          <t>ME</t>
        </is>
      </c>
    </row>
    <row r="160">
      <c r="A160" s="8" t="inlineStr">
        <is>
          <t>Benin</t>
        </is>
      </c>
      <c r="B160" s="9" t="n">
        <v>2.580077</v>
      </c>
      <c r="C160" s="9" t="n"/>
      <c r="D160" s="9" t="n">
        <v>1.873123</v>
      </c>
      <c r="E160" s="9" t="n">
        <v>1.214229</v>
      </c>
      <c r="F160" s="9" t="n"/>
      <c r="G160" s="9" t="n">
        <v>2.358362</v>
      </c>
      <c r="H160" s="9" t="n">
        <v>-0.485239</v>
      </c>
      <c r="I160" s="8" t="inlineStr">
        <is>
          <t>IE</t>
        </is>
      </c>
    </row>
    <row r="161">
      <c r="A161" s="8" t="inlineStr">
        <is>
          <t>Solomon Islands</t>
        </is>
      </c>
      <c r="B161" s="9" t="n">
        <v>2.235372</v>
      </c>
      <c r="C161" s="9" t="n"/>
      <c r="D161" s="9" t="n">
        <v>1.838047</v>
      </c>
      <c r="E161" s="9" t="n">
        <v>0.860088</v>
      </c>
      <c r="F161" s="9" t="n"/>
      <c r="G161" s="9" t="n">
        <v>0.520267</v>
      </c>
      <c r="H161" s="9" t="n">
        <v>1.31778</v>
      </c>
      <c r="I161" s="8" t="inlineStr">
        <is>
          <t>IE</t>
        </is>
      </c>
    </row>
    <row r="162">
      <c r="A162" s="8" t="inlineStr">
        <is>
          <t>Bermuda</t>
        </is>
      </c>
      <c r="B162" s="9" t="n">
        <v>0.313463</v>
      </c>
      <c r="C162" s="9" t="n"/>
      <c r="D162" s="9" t="n">
        <v>1.65286</v>
      </c>
      <c r="E162" s="9" t="n">
        <v>0.11402</v>
      </c>
      <c r="F162" s="9" t="n"/>
      <c r="G162" s="9" t="n">
        <v>1.377275</v>
      </c>
      <c r="H162" s="9" t="n">
        <v>0.275585</v>
      </c>
      <c r="I162" s="8" t="inlineStr">
        <is>
          <t>ME</t>
        </is>
      </c>
    </row>
    <row r="163">
      <c r="A163" s="8" t="inlineStr">
        <is>
          <t>Eswatini</t>
        </is>
      </c>
      <c r="B163" s="9" t="n">
        <v>2.523894</v>
      </c>
      <c r="C163" s="9" t="n"/>
      <c r="D163" s="9" t="n">
        <v>1.583274</v>
      </c>
      <c r="E163" s="9" t="n">
        <v>0.202236</v>
      </c>
      <c r="F163" s="9" t="n"/>
      <c r="G163" s="9" t="n">
        <v>0.225387</v>
      </c>
      <c r="H163" s="9" t="n">
        <v>1.357887</v>
      </c>
      <c r="I163" s="8" t="inlineStr">
        <is>
          <t>IE</t>
        </is>
      </c>
    </row>
    <row r="164">
      <c r="A164" s="8" t="inlineStr">
        <is>
          <t>Democratic Republic of the Congo</t>
        </is>
      </c>
      <c r="B164" s="9" t="n">
        <v>0.407433</v>
      </c>
      <c r="C164" s="9" t="n"/>
      <c r="D164" s="9" t="n">
        <v>1.576781</v>
      </c>
      <c r="E164" s="9" t="n">
        <v>2.237687</v>
      </c>
      <c r="F164" s="9" t="n"/>
      <c r="G164" s="9" t="n">
        <v>1.402286</v>
      </c>
      <c r="H164" s="9" t="n">
        <v>0.1744950000000001</v>
      </c>
      <c r="I164" s="8" t="inlineStr">
        <is>
          <t>ME</t>
        </is>
      </c>
    </row>
    <row r="165">
      <c r="A165" s="8" t="inlineStr">
        <is>
          <t>Bhutan</t>
        </is>
      </c>
      <c r="B165" s="9" t="n">
        <v>1.699333</v>
      </c>
      <c r="C165" s="9" t="n"/>
      <c r="D165" s="9" t="n">
        <v>1.517213</v>
      </c>
      <c r="E165" s="9" t="n">
        <v>0.256218</v>
      </c>
      <c r="F165" s="9" t="n"/>
      <c r="G165" s="9" t="n">
        <v>0.470709</v>
      </c>
      <c r="H165" s="9" t="n">
        <v>1.046504</v>
      </c>
      <c r="I165" s="8" t="inlineStr">
        <is>
          <t>IE</t>
        </is>
      </c>
    </row>
    <row r="166">
      <c r="A166" s="8" t="inlineStr">
        <is>
          <t>Vanuatu</t>
        </is>
      </c>
      <c r="B166" s="9" t="n">
        <v>1.619527</v>
      </c>
      <c r="C166" s="9" t="n"/>
      <c r="D166" s="9" t="n">
        <v>1.472193</v>
      </c>
      <c r="E166" s="9" t="n">
        <v>3.28052</v>
      </c>
      <c r="F166" s="9" t="n"/>
      <c r="G166" s="9" t="n">
        <v>2.311842</v>
      </c>
      <c r="H166" s="9" t="n">
        <v>-0.8396489999999999</v>
      </c>
      <c r="I166" s="8" t="inlineStr">
        <is>
          <t>IE</t>
        </is>
      </c>
    </row>
    <row r="167">
      <c r="A167" s="8" t="inlineStr">
        <is>
          <t>Bosnia dan Herzegovina</t>
        </is>
      </c>
      <c r="B167" s="9" t="n">
        <v>2.04615</v>
      </c>
      <c r="C167" s="9" t="n"/>
      <c r="D167" s="9" t="n">
        <v>1.432596</v>
      </c>
      <c r="E167" s="9" t="n">
        <v>0.169134</v>
      </c>
      <c r="F167" s="9" t="n"/>
      <c r="G167" s="9" t="n">
        <v>0.151686</v>
      </c>
      <c r="H167" s="9" t="n">
        <v>1.28091</v>
      </c>
      <c r="I167" s="8" t="inlineStr">
        <is>
          <t>IE</t>
        </is>
      </c>
    </row>
    <row r="168">
      <c r="A168" s="8" t="inlineStr">
        <is>
          <t>Montenegro</t>
        </is>
      </c>
      <c r="B168" s="9" t="n">
        <v>2.612498</v>
      </c>
      <c r="C168" s="9" t="n"/>
      <c r="D168" s="9" t="n">
        <v>1.430517</v>
      </c>
      <c r="E168" s="9" t="n">
        <v>19.876724</v>
      </c>
      <c r="F168" s="9" t="n"/>
      <c r="G168" s="9" t="n">
        <v>9.906594999999999</v>
      </c>
      <c r="H168" s="9" t="n">
        <v>-8.476077999999999</v>
      </c>
      <c r="I168" s="8" t="inlineStr">
        <is>
          <t>IE</t>
        </is>
      </c>
    </row>
    <row r="169">
      <c r="A169" s="8" t="inlineStr">
        <is>
          <t>Mauritania</t>
        </is>
      </c>
      <c r="B169" s="9" t="n">
        <v>1.967427</v>
      </c>
      <c r="C169" s="9" t="n"/>
      <c r="D169" s="9" t="n">
        <v>1.367918</v>
      </c>
      <c r="E169" s="9" t="n">
        <v>0.645947</v>
      </c>
      <c r="F169" s="9" t="n"/>
      <c r="G169" s="9" t="n">
        <v>0.338809</v>
      </c>
      <c r="H169" s="9" t="n">
        <v>1.029109</v>
      </c>
      <c r="I169" s="8" t="inlineStr">
        <is>
          <t>IE</t>
        </is>
      </c>
    </row>
    <row r="170">
      <c r="A170" s="8" t="inlineStr">
        <is>
          <t>Rwanda</t>
        </is>
      </c>
      <c r="B170" s="9" t="n">
        <v>0.829914</v>
      </c>
      <c r="C170" s="9" t="n"/>
      <c r="D170" s="9" t="n">
        <v>1.335225</v>
      </c>
      <c r="E170" s="9" t="n">
        <v>0.472126</v>
      </c>
      <c r="F170" s="9" t="n"/>
      <c r="G170" s="9" t="n">
        <v>1.203753</v>
      </c>
      <c r="H170" s="9" t="n">
        <v>0.131472</v>
      </c>
      <c r="I170" s="8" t="inlineStr">
        <is>
          <t>ME</t>
        </is>
      </c>
    </row>
    <row r="171">
      <c r="A171" s="8" t="inlineStr">
        <is>
          <t>Barbados</t>
        </is>
      </c>
      <c r="B171" s="9" t="n">
        <v>1.463075</v>
      </c>
      <c r="C171" s="9" t="n"/>
      <c r="D171" s="9" t="n">
        <v>1.284865</v>
      </c>
      <c r="E171" s="9" t="n">
        <v>5.210369</v>
      </c>
      <c r="F171" s="9" t="n"/>
      <c r="G171" s="9" t="n">
        <v>15.720536</v>
      </c>
      <c r="H171" s="9" t="n">
        <v>-14.435671</v>
      </c>
      <c r="I171" s="8" t="inlineStr">
        <is>
          <t>IE</t>
        </is>
      </c>
    </row>
    <row r="172">
      <c r="A172" s="8" t="inlineStr">
        <is>
          <t>Guinea</t>
        </is>
      </c>
      <c r="B172" s="9" t="n">
        <v>0.486444</v>
      </c>
      <c r="C172" s="9" t="n"/>
      <c r="D172" s="9" t="n">
        <v>1.052743</v>
      </c>
      <c r="E172" s="9" t="n">
        <v>0.354838</v>
      </c>
      <c r="F172" s="9" t="n"/>
      <c r="G172" s="9" t="n">
        <v>0.213767</v>
      </c>
      <c r="H172" s="9" t="n">
        <v>0.8389759999999999</v>
      </c>
      <c r="I172" s="8" t="inlineStr">
        <is>
          <t>IE</t>
        </is>
      </c>
    </row>
    <row r="173">
      <c r="A173" s="8" t="inlineStr">
        <is>
          <t>Belarus</t>
        </is>
      </c>
      <c r="B173" s="9" t="n">
        <v>4.306556</v>
      </c>
      <c r="C173" s="9" t="n"/>
      <c r="D173" s="9" t="n">
        <v>0.867876</v>
      </c>
      <c r="E173" s="9" t="n">
        <v>4.77214</v>
      </c>
      <c r="F173" s="9" t="n"/>
      <c r="G173" s="9" t="n">
        <v>1.71803</v>
      </c>
      <c r="H173" s="9" t="n">
        <v>-0.850154</v>
      </c>
      <c r="I173" s="8" t="inlineStr">
        <is>
          <t>IE</t>
        </is>
      </c>
    </row>
    <row r="174">
      <c r="A174" s="8" t="inlineStr">
        <is>
          <t>Zambia</t>
        </is>
      </c>
      <c r="B174" s="9" t="n">
        <v>0.196414</v>
      </c>
      <c r="C174" s="9" t="n"/>
      <c r="D174" s="9" t="n">
        <v>0.757897</v>
      </c>
      <c r="E174" s="9" t="n">
        <v>1.916156</v>
      </c>
      <c r="F174" s="9" t="n"/>
      <c r="G174" s="9" t="n">
        <v>2.245434</v>
      </c>
      <c r="H174" s="9" t="n">
        <v>-1.487537</v>
      </c>
      <c r="I174" s="8" t="inlineStr">
        <is>
          <t>IE</t>
        </is>
      </c>
    </row>
    <row r="175">
      <c r="A175" s="8" t="inlineStr">
        <is>
          <t>Burkina Faso</t>
        </is>
      </c>
      <c r="B175" s="9" t="n">
        <v>0.316969</v>
      </c>
      <c r="C175" s="9" t="n"/>
      <c r="D175" s="9" t="n">
        <v>0.678236</v>
      </c>
      <c r="E175" s="9" t="n">
        <v>1.491843</v>
      </c>
      <c r="F175" s="9" t="n"/>
      <c r="G175" s="9" t="n">
        <v>1.10288</v>
      </c>
      <c r="H175" s="9" t="n">
        <v>-0.4246440000000001</v>
      </c>
      <c r="I175" s="8" t="inlineStr">
        <is>
          <t>IE</t>
        </is>
      </c>
    </row>
    <row r="176">
      <c r="A176" s="8" t="inlineStr">
        <is>
          <t>Togo</t>
        </is>
      </c>
      <c r="B176" s="9" t="n">
        <v>0.821644</v>
      </c>
      <c r="C176" s="9" t="n"/>
      <c r="D176" s="9" t="n">
        <v>0.6445610000000001</v>
      </c>
      <c r="E176" s="9" t="n">
        <v>0.130328</v>
      </c>
      <c r="F176" s="9" t="n"/>
      <c r="G176" s="9" t="n">
        <v>0.352182</v>
      </c>
      <c r="H176" s="9" t="n">
        <v>0.2923790000000001</v>
      </c>
      <c r="I176" s="8" t="inlineStr">
        <is>
          <t>IE</t>
        </is>
      </c>
    </row>
    <row r="177">
      <c r="A177" s="8" t="inlineStr">
        <is>
          <t>Suriname</t>
        </is>
      </c>
      <c r="B177" s="9" t="n">
        <v>0.385734</v>
      </c>
      <c r="C177" s="9" t="n"/>
      <c r="D177" s="9" t="n">
        <v>0.626646</v>
      </c>
      <c r="E177" s="9" t="n">
        <v>0.000166</v>
      </c>
      <c r="F177" s="9" t="n"/>
      <c r="G177" s="9" t="n">
        <v>0.012047</v>
      </c>
      <c r="H177" s="9" t="n">
        <v>0.614599</v>
      </c>
      <c r="I177" s="8" t="inlineStr">
        <is>
          <t>IE</t>
        </is>
      </c>
    </row>
    <row r="178">
      <c r="A178" s="8" t="inlineStr">
        <is>
          <t>Niger</t>
        </is>
      </c>
      <c r="B178" s="9" t="n">
        <v>0.297382</v>
      </c>
      <c r="C178" s="9" t="n"/>
      <c r="D178" s="9" t="n">
        <v>0.588703</v>
      </c>
      <c r="E178" s="9" t="n">
        <v>0.086726</v>
      </c>
      <c r="F178" s="9" t="n"/>
      <c r="G178" s="9" t="n">
        <v>0.197527</v>
      </c>
      <c r="H178" s="9" t="n">
        <v>0.391176</v>
      </c>
      <c r="I178" s="8" t="inlineStr">
        <is>
          <t>IE</t>
        </is>
      </c>
    </row>
    <row r="179">
      <c r="A179" s="8" t="inlineStr">
        <is>
          <t>Djibouti</t>
        </is>
      </c>
      <c r="B179" s="9" t="n">
        <v>0.599239</v>
      </c>
      <c r="C179" s="9" t="n"/>
      <c r="D179" s="9" t="n">
        <v>0.5608109999999999</v>
      </c>
      <c r="E179" s="9" t="n">
        <v>0.111995</v>
      </c>
      <c r="F179" s="9" t="n"/>
      <c r="G179" s="9" t="n">
        <v>0.13447</v>
      </c>
      <c r="H179" s="9" t="n">
        <v>0.426341</v>
      </c>
      <c r="I179" s="8" t="inlineStr">
        <is>
          <t>IE/ME</t>
        </is>
      </c>
    </row>
    <row r="180">
      <c r="A180" s="8" t="inlineStr">
        <is>
          <t>Kiribati</t>
        </is>
      </c>
      <c r="B180" s="9" t="n">
        <v>0.641346</v>
      </c>
      <c r="C180" s="9" t="n"/>
      <c r="D180" s="9" t="n">
        <v>0.53714</v>
      </c>
      <c r="E180" s="9" t="n">
        <v>19.054266</v>
      </c>
      <c r="F180" s="9" t="n"/>
      <c r="G180" s="9" t="n">
        <v>16.563733</v>
      </c>
      <c r="H180" s="9" t="n">
        <v>-16.026593</v>
      </c>
      <c r="I180" s="8" t="inlineStr">
        <is>
          <t>IE</t>
        </is>
      </c>
    </row>
    <row r="181">
      <c r="A181" s="8" t="inlineStr">
        <is>
          <t>Gambia</t>
        </is>
      </c>
      <c r="B181" s="9" t="n">
        <v>1.055491</v>
      </c>
      <c r="C181" s="9" t="n"/>
      <c r="D181" s="9" t="n">
        <v>0.526494</v>
      </c>
      <c r="E181" s="9" t="n">
        <v>0.282645</v>
      </c>
      <c r="F181" s="9" t="n"/>
      <c r="G181" s="9" t="n">
        <v>1.077462</v>
      </c>
      <c r="H181" s="9" t="n">
        <v>-0.5509679999999999</v>
      </c>
      <c r="I181" s="8" t="inlineStr">
        <is>
          <t>IE</t>
        </is>
      </c>
    </row>
    <row r="182">
      <c r="A182" s="8" t="inlineStr">
        <is>
          <t>Mali</t>
        </is>
      </c>
      <c r="B182" s="9" t="n">
        <v>0.216958</v>
      </c>
      <c r="C182" s="9" t="n"/>
      <c r="D182" s="9" t="n">
        <v>0.38807</v>
      </c>
      <c r="E182" s="9" t="n">
        <v>3.197426</v>
      </c>
      <c r="F182" s="9" t="n"/>
      <c r="G182" s="9" t="n">
        <v>4.148306</v>
      </c>
      <c r="H182" s="9" t="n">
        <v>-3.760236</v>
      </c>
      <c r="I182" s="8" t="inlineStr">
        <is>
          <t>IE</t>
        </is>
      </c>
    </row>
    <row r="183">
      <c r="A183" s="8" t="inlineStr">
        <is>
          <t>Chad</t>
        </is>
      </c>
      <c r="B183" s="9" t="n">
        <v>0.218765</v>
      </c>
      <c r="C183" s="9" t="n"/>
      <c r="D183" s="9" t="n">
        <v>0.354958</v>
      </c>
      <c r="E183" s="9" t="n">
        <v>0.221072</v>
      </c>
      <c r="F183" s="9" t="n"/>
      <c r="G183" s="9" t="n">
        <v>0.181957</v>
      </c>
      <c r="H183" s="9" t="n">
        <v>0.173001</v>
      </c>
      <c r="I183" s="8" t="inlineStr">
        <is>
          <t>IE</t>
        </is>
      </c>
    </row>
    <row r="184">
      <c r="A184" s="8" t="inlineStr">
        <is>
          <t>Comoros</t>
        </is>
      </c>
      <c r="B184" s="9" t="n">
        <v>0.057172</v>
      </c>
      <c r="C184" s="9" t="n"/>
      <c r="D184" s="9" t="n">
        <v>0.35361</v>
      </c>
      <c r="E184" s="9" t="n">
        <v>0.575049</v>
      </c>
      <c r="F184" s="9" t="n"/>
      <c r="G184" s="9" t="n">
        <v>1.328658</v>
      </c>
      <c r="H184" s="9" t="n">
        <v>-0.9750479999999999</v>
      </c>
      <c r="I184" s="8" t="inlineStr">
        <is>
          <t>IE</t>
        </is>
      </c>
    </row>
    <row r="185">
      <c r="A185" s="8" t="inlineStr">
        <is>
          <t>Cabo Verde</t>
        </is>
      </c>
      <c r="B185" s="9" t="n">
        <v>0.32875</v>
      </c>
      <c r="C185" s="9" t="n"/>
      <c r="D185" s="9" t="n">
        <v>0.353451</v>
      </c>
      <c r="E185" s="9" t="n">
        <v>0.012328</v>
      </c>
      <c r="F185" s="9" t="n"/>
      <c r="G185" s="9" t="n">
        <v>0.354967</v>
      </c>
      <c r="H185" s="9" t="n">
        <v>-0.001515999999999962</v>
      </c>
      <c r="I185" s="8" t="inlineStr">
        <is>
          <t>IE</t>
        </is>
      </c>
    </row>
    <row r="186">
      <c r="A186" s="8" t="inlineStr">
        <is>
          <t>Burundi</t>
        </is>
      </c>
      <c r="B186" s="9" t="n">
        <v>0.082992</v>
      </c>
      <c r="C186" s="9" t="n"/>
      <c r="D186" s="9" t="n">
        <v>0.34439</v>
      </c>
      <c r="E186" s="9" t="n">
        <v>0.131994</v>
      </c>
      <c r="F186" s="9" t="n"/>
      <c r="G186" s="9" t="n">
        <v>0.08820799999999999</v>
      </c>
      <c r="H186" s="9" t="n">
        <v>0.256182</v>
      </c>
      <c r="I186" s="8" t="inlineStr">
        <is>
          <t>IE</t>
        </is>
      </c>
    </row>
    <row r="187">
      <c r="A187" s="8" t="inlineStr">
        <is>
          <t>Grenada</t>
        </is>
      </c>
      <c r="B187" s="9" t="n">
        <v>0.409164</v>
      </c>
      <c r="C187" s="9" t="n"/>
      <c r="D187" s="9" t="n">
        <v>0.331186</v>
      </c>
      <c r="E187" s="9" t="n">
        <v>0.014692</v>
      </c>
      <c r="F187" s="9" t="n"/>
      <c r="G187" s="9" t="n">
        <v>0.251793</v>
      </c>
      <c r="H187" s="9" t="n">
        <v>0.07939299999999999</v>
      </c>
      <c r="I187" s="8" t="inlineStr">
        <is>
          <t>IE</t>
        </is>
      </c>
    </row>
    <row r="188">
      <c r="A188" s="8" t="inlineStr">
        <is>
          <t>Curaçao</t>
        </is>
      </c>
      <c r="B188" s="9" t="n">
        <v>0.048846</v>
      </c>
      <c r="C188" s="9" t="n"/>
      <c r="D188" s="9" t="n">
        <v>0.327356</v>
      </c>
      <c r="E188" s="9" t="n">
        <v>1.361683</v>
      </c>
      <c r="F188" s="9" t="n"/>
      <c r="G188" s="9" t="n">
        <v>3.727681</v>
      </c>
      <c r="H188" s="9" t="n">
        <v>-3.400325</v>
      </c>
      <c r="I188" s="8" t="inlineStr">
        <is>
          <t>ME</t>
        </is>
      </c>
    </row>
    <row r="189">
      <c r="A189" s="8" t="inlineStr">
        <is>
          <t>Antigua and Barbuda</t>
        </is>
      </c>
      <c r="B189" s="9" t="n">
        <v>0.232291</v>
      </c>
      <c r="C189" s="9" t="n"/>
      <c r="D189" s="9" t="n">
        <v>0.325013</v>
      </c>
      <c r="E189" s="9" t="n">
        <v>1.296916</v>
      </c>
      <c r="F189" s="9" t="n"/>
      <c r="G189" s="9" t="n">
        <v>2.520208</v>
      </c>
      <c r="H189" s="9" t="n">
        <v>-2.195195</v>
      </c>
      <c r="I189" s="8" t="inlineStr">
        <is>
          <t>ME</t>
        </is>
      </c>
    </row>
    <row r="190">
      <c r="A190" s="8" t="inlineStr">
        <is>
          <t>Aruba</t>
        </is>
      </c>
      <c r="B190" s="9" t="n">
        <v>0.128965</v>
      </c>
      <c r="C190" s="9" t="n"/>
      <c r="D190" s="9" t="n">
        <v>0.322767</v>
      </c>
      <c r="E190" s="9" t="n">
        <v>15.00165</v>
      </c>
      <c r="F190" s="9" t="n"/>
      <c r="G190" s="9" t="n">
        <v>13.623532</v>
      </c>
      <c r="H190" s="9" t="n">
        <v>-13.300765</v>
      </c>
      <c r="I190" s="8" t="inlineStr">
        <is>
          <t>ME</t>
        </is>
      </c>
    </row>
    <row r="191">
      <c r="A191" s="8" t="inlineStr">
        <is>
          <t>Sierra Leone</t>
        </is>
      </c>
      <c r="B191" s="9" t="n">
        <v>0.318429</v>
      </c>
      <c r="C191" s="9" t="n"/>
      <c r="D191" s="9" t="n">
        <v>0.227666</v>
      </c>
      <c r="E191" s="9" t="n">
        <v>0.197957</v>
      </c>
      <c r="F191" s="9" t="n"/>
      <c r="G191" s="9" t="n">
        <v>0.837774</v>
      </c>
      <c r="H191" s="9" t="n">
        <v>-0.610108</v>
      </c>
      <c r="I191" s="8" t="inlineStr">
        <is>
          <t>IE</t>
        </is>
      </c>
    </row>
    <row r="192">
      <c r="A192" s="8" t="inlineStr">
        <is>
          <t>Cayman Islands</t>
        </is>
      </c>
      <c r="B192" s="9" t="n">
        <v>0.010185</v>
      </c>
      <c r="C192" s="9" t="n"/>
      <c r="D192" s="9" t="n">
        <v>0.213769</v>
      </c>
      <c r="E192" s="9" t="n">
        <v>0.001276</v>
      </c>
      <c r="F192" s="9" t="n"/>
      <c r="G192" s="9" t="n">
        <v>0.026879</v>
      </c>
      <c r="H192" s="9" t="n">
        <v>0.18689</v>
      </c>
      <c r="I192" s="8" t="inlineStr">
        <is>
          <t>ME</t>
        </is>
      </c>
    </row>
    <row r="193">
      <c r="A193" s="8" t="inlineStr">
        <is>
          <t>Saint Lucia</t>
        </is>
      </c>
      <c r="B193" s="9" t="n">
        <v>0.133525</v>
      </c>
      <c r="C193" s="9" t="n"/>
      <c r="D193" s="9" t="n">
        <v>0.209376</v>
      </c>
      <c r="E193" s="9" t="n">
        <v>0.016352</v>
      </c>
      <c r="F193" s="9" t="n"/>
      <c r="G193" s="9" t="n">
        <v>0.115453</v>
      </c>
      <c r="H193" s="9" t="n">
        <v>0.09392300000000001</v>
      </c>
      <c r="I193" s="8" t="inlineStr">
        <is>
          <t>IE</t>
        </is>
      </c>
    </row>
    <row r="194">
      <c r="A194" s="8" t="inlineStr">
        <is>
          <t>Tuvalu</t>
        </is>
      </c>
      <c r="B194" s="9" t="n">
        <v>0.270211</v>
      </c>
      <c r="C194" s="9" t="n"/>
      <c r="D194" s="9" t="n">
        <v>0.184348</v>
      </c>
      <c r="E194" s="9" t="n">
        <v>0.775015</v>
      </c>
      <c r="F194" s="9" t="n"/>
      <c r="G194" s="9" t="n">
        <v>0.657748</v>
      </c>
      <c r="H194" s="9" t="n">
        <v>-0.4734</v>
      </c>
      <c r="I194" s="8" t="inlineStr">
        <is>
          <t>IE</t>
        </is>
      </c>
    </row>
    <row r="195">
      <c r="A195" s="8" t="inlineStr">
        <is>
          <t>Lesotho</t>
        </is>
      </c>
      <c r="B195" s="9" t="n">
        <v>0.107847</v>
      </c>
      <c r="C195" s="9" t="n"/>
      <c r="D195" s="9" t="n">
        <v>0.176976</v>
      </c>
      <c r="E195" s="9" t="n">
        <v>0.000792</v>
      </c>
      <c r="F195" s="9" t="n"/>
      <c r="G195" s="9" t="n">
        <v>0.007509</v>
      </c>
      <c r="H195" s="9" t="n">
        <v>0.169467</v>
      </c>
      <c r="I195" s="8" t="inlineStr">
        <is>
          <t>IE</t>
        </is>
      </c>
    </row>
    <row r="196">
      <c r="A196" s="8" t="inlineStr">
        <is>
          <t>Seychelles</t>
        </is>
      </c>
      <c r="B196" s="9" t="n">
        <v>0.045829</v>
      </c>
      <c r="C196" s="9" t="n"/>
      <c r="D196" s="9" t="n">
        <v>0.156265</v>
      </c>
      <c r="E196" s="9" t="n">
        <v>0.124332</v>
      </c>
      <c r="F196" s="9" t="n"/>
      <c r="G196" s="9" t="n">
        <v>0.5451240000000001</v>
      </c>
      <c r="H196" s="9" t="n">
        <v>-0.3888590000000001</v>
      </c>
      <c r="I196" s="8" t="inlineStr">
        <is>
          <t>IE</t>
        </is>
      </c>
    </row>
    <row r="197">
      <c r="A197" s="8" t="inlineStr">
        <is>
          <t>Sao Tome and Principe</t>
        </is>
      </c>
      <c r="B197" s="9" t="n">
        <v>0.037277</v>
      </c>
      <c r="C197" s="9" t="n"/>
      <c r="D197" s="9" t="n">
        <v>0.152766</v>
      </c>
      <c r="E197" s="9" t="n">
        <v>0.001704</v>
      </c>
      <c r="F197" s="9" t="n"/>
      <c r="G197" s="9" t="n">
        <v>0.017867</v>
      </c>
      <c r="H197" s="9" t="n">
        <v>0.134899</v>
      </c>
      <c r="I197" s="8" t="inlineStr">
        <is>
          <t>IE</t>
        </is>
      </c>
    </row>
    <row r="198">
      <c r="A198" s="8" t="inlineStr">
        <is>
          <t>Belize</t>
        </is>
      </c>
      <c r="B198" s="9" t="n">
        <v>0.023149</v>
      </c>
      <c r="C198" s="9" t="n"/>
      <c r="D198" s="9" t="n">
        <v>0.142388</v>
      </c>
      <c r="E198" s="9" t="n">
        <v>0.009747</v>
      </c>
      <c r="F198" s="9" t="n"/>
      <c r="G198" s="9" t="n">
        <v>0.050439</v>
      </c>
      <c r="H198" s="9" t="n">
        <v>0.09194899999999999</v>
      </c>
      <c r="I198" s="8" t="inlineStr">
        <is>
          <t>IE</t>
        </is>
      </c>
    </row>
    <row r="199">
      <c r="A199" s="8" t="inlineStr">
        <is>
          <t>Dominica</t>
        </is>
      </c>
      <c r="B199" s="9" t="n">
        <v>0.053488</v>
      </c>
      <c r="C199" s="9" t="n"/>
      <c r="D199" s="9" t="n">
        <v>0.127516</v>
      </c>
      <c r="E199" s="9" t="n">
        <v>0.003289</v>
      </c>
      <c r="F199" s="9" t="n"/>
      <c r="G199" s="9" t="n">
        <v>0.07097000000000001</v>
      </c>
      <c r="H199" s="9" t="n">
        <v>0.05654599999999999</v>
      </c>
      <c r="I199" s="8" t="inlineStr">
        <is>
          <t>IE</t>
        </is>
      </c>
    </row>
    <row r="200">
      <c r="A200" s="8" t="inlineStr">
        <is>
          <t>Sint Maarten</t>
        </is>
      </c>
      <c r="B200" s="9" t="n">
        <v>0.07173300000000001</v>
      </c>
      <c r="C200" s="9" t="n"/>
      <c r="D200" s="9" t="n">
        <v>0.122948</v>
      </c>
      <c r="E200" s="9" t="n">
        <v>2.392577</v>
      </c>
      <c r="F200" s="9" t="n"/>
      <c r="G200" s="9" t="n">
        <v>3.45241</v>
      </c>
      <c r="H200" s="9" t="n">
        <v>-3.329462</v>
      </c>
      <c r="I200" s="8" t="inlineStr">
        <is>
          <t>ME</t>
        </is>
      </c>
    </row>
    <row r="201">
      <c r="A201" s="8" t="inlineStr">
        <is>
          <t>Guinea-Bissau</t>
        </is>
      </c>
      <c r="B201" s="9" t="n">
        <v>0.022396</v>
      </c>
      <c r="C201" s="9" t="n"/>
      <c r="D201" s="9" t="n">
        <v>0.116928</v>
      </c>
      <c r="E201" s="9" t="n">
        <v>0.000382</v>
      </c>
      <c r="F201" s="9" t="n"/>
      <c r="G201" s="9" t="n">
        <v>0.005334</v>
      </c>
      <c r="H201" s="9" t="n">
        <v>0.111594</v>
      </c>
      <c r="I201" s="8" t="inlineStr">
        <is>
          <t>IE</t>
        </is>
      </c>
    </row>
    <row r="202">
      <c r="A202" s="8" t="inlineStr">
        <is>
          <t>Anguilla</t>
        </is>
      </c>
      <c r="B202" s="9" t="n">
        <v>0.089041</v>
      </c>
      <c r="C202" s="9" t="n"/>
      <c r="D202" s="9" t="n">
        <v>0.107811</v>
      </c>
      <c r="E202" s="9" t="n">
        <v>0.047588</v>
      </c>
      <c r="F202" s="9" t="n"/>
      <c r="G202" s="9" t="n">
        <v>0.330623</v>
      </c>
      <c r="H202" s="9" t="n">
        <v>-0.222812</v>
      </c>
      <c r="I202" s="8" t="inlineStr">
        <is>
          <t>ME</t>
        </is>
      </c>
    </row>
    <row r="203">
      <c r="A203" s="8" t="inlineStr">
        <is>
          <t>Central African Republic</t>
        </is>
      </c>
      <c r="B203" s="9" t="n">
        <v>0.021253</v>
      </c>
      <c r="C203" s="9" t="n"/>
      <c r="D203" s="9" t="n">
        <v>0.105686</v>
      </c>
      <c r="E203" s="9" t="n">
        <v>0.170241</v>
      </c>
      <c r="F203" s="9" t="n"/>
      <c r="G203" s="9" t="n">
        <v>0.06863900000000001</v>
      </c>
      <c r="H203" s="9" t="n">
        <v>0.037047</v>
      </c>
      <c r="I203" s="8" t="inlineStr">
        <is>
          <t>IE</t>
        </is>
      </c>
    </row>
    <row r="204">
      <c r="A204" s="8" t="inlineStr">
        <is>
          <t>Liberia</t>
        </is>
      </c>
      <c r="B204" s="9" t="n">
        <v>0.012085</v>
      </c>
      <c r="C204" s="9" t="n"/>
      <c r="D204" s="9" t="n">
        <v>0.104583</v>
      </c>
      <c r="E204" s="9" t="n">
        <v>0.229612</v>
      </c>
      <c r="F204" s="9" t="n"/>
      <c r="G204" s="9" t="n">
        <v>0.164718</v>
      </c>
      <c r="H204" s="9" t="n">
        <v>-0.06013500000000001</v>
      </c>
      <c r="I204" s="8" t="inlineStr">
        <is>
          <t>ME</t>
        </is>
      </c>
    </row>
    <row r="205">
      <c r="A205" s="8" t="inlineStr">
        <is>
          <t>Saint Kitts and Nevis</t>
        </is>
      </c>
      <c r="B205" s="9" t="n">
        <v>0.007915999999999999</v>
      </c>
      <c r="C205" s="9" t="n"/>
      <c r="D205" s="9" t="n">
        <v>0.101775</v>
      </c>
      <c r="E205" s="9" t="n">
        <v>0.003907</v>
      </c>
      <c r="F205" s="9" t="n"/>
      <c r="G205" s="9" t="n">
        <v>0.025622</v>
      </c>
      <c r="H205" s="9" t="n">
        <v>0.076153</v>
      </c>
      <c r="I205" s="8" t="inlineStr">
        <is>
          <t>IE</t>
        </is>
      </c>
    </row>
    <row r="206">
      <c r="A206" s="8" t="inlineStr">
        <is>
          <t>Turks and Caicos Islands</t>
        </is>
      </c>
      <c r="B206" s="9" t="n">
        <v>0.060672</v>
      </c>
      <c r="C206" s="9" t="n"/>
      <c r="D206" s="9" t="n">
        <v>0.059469</v>
      </c>
      <c r="E206" s="9" t="n">
        <v>0.127786</v>
      </c>
      <c r="F206" s="9" t="n"/>
      <c r="G206" s="9" t="n">
        <v>0.645647</v>
      </c>
      <c r="H206" s="9" t="n">
        <v>-0.586178</v>
      </c>
      <c r="I206" s="8" t="inlineStr">
        <is>
          <t>ME</t>
        </is>
      </c>
    </row>
    <row r="207">
      <c r="A207" s="8" t="inlineStr">
        <is>
          <t>Saint Vincent and the Grenadines</t>
        </is>
      </c>
      <c r="B207" s="9" t="n">
        <v>0.008546</v>
      </c>
      <c r="C207" s="9" t="n"/>
      <c r="D207" s="9" t="n">
        <v>0.055673</v>
      </c>
      <c r="E207" s="9" t="n">
        <v>0.006609</v>
      </c>
      <c r="F207" s="9" t="n"/>
      <c r="G207" s="9" t="n">
        <v>0.046722</v>
      </c>
      <c r="H207" s="9" t="n">
        <v>0.008951000000000001</v>
      </c>
      <c r="I207" s="8" t="inlineStr">
        <is>
          <t>IE</t>
        </is>
      </c>
    </row>
    <row r="208">
      <c r="A208" s="8" t="inlineStr">
        <is>
          <t>Eritrea</t>
        </is>
      </c>
      <c r="B208" s="9" t="n">
        <v>0.031339</v>
      </c>
      <c r="C208" s="9" t="n"/>
      <c r="D208" s="9" t="n">
        <v>0.031088</v>
      </c>
      <c r="E208" s="9" t="n">
        <v>0.180707</v>
      </c>
      <c r="F208" s="9" t="n"/>
      <c r="G208" s="9" t="n">
        <v>0.123272</v>
      </c>
      <c r="H208" s="9" t="n">
        <v>-0.092184</v>
      </c>
      <c r="I208" s="8" t="inlineStr">
        <is>
          <t>IE</t>
        </is>
      </c>
    </row>
    <row r="209">
      <c r="A209" s="8" t="inlineStr">
        <is>
          <t>Montserrat</t>
        </is>
      </c>
      <c r="B209" s="9" t="n">
        <v>0.002786</v>
      </c>
      <c r="C209" s="9" t="n"/>
      <c r="D209" s="9" t="n">
        <v>0.007746</v>
      </c>
      <c r="E209" s="9" t="n">
        <v>0.000737</v>
      </c>
      <c r="F209" s="9" t="n"/>
      <c r="G209" s="9" t="n">
        <v>0.004382</v>
      </c>
      <c r="H209" s="9" t="n">
        <v>0.003364000000000001</v>
      </c>
      <c r="I209" s="8" t="inlineStr">
        <is>
          <t>IE</t>
        </is>
      </c>
    </row>
    <row r="211">
      <c r="A211" s="2" t="inlineStr">
        <is>
          <t>Kosong di kolom 'dilaporkan negara mitra' = negara itu tidak melapor ke OECD-WTO.</t>
        </is>
      </c>
    </row>
    <row r="212">
      <c r="A212" s="5" t="inlineStr">
        <is>
          <t>Sumber: OECD-WTO BaTIS</t>
        </is>
      </c>
    </row>
  </sheetData>
  <hyperlinks>
    <hyperlink xmlns:r="http://schemas.openxmlformats.org/officeDocument/2006/relationships" ref="A212" r:id="rId1"/>
  </hyperlinks>
  <pageMargins left="0.75" right="0.75" top="1" bottom="1" header="0.5" footer="0.5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70" customWidth="1" min="3" max="3"/>
  </cols>
  <sheetData>
    <row r="1">
      <c r="A1" s="1" t="inlineStr">
        <is>
          <t>Bagaimana OECD-WTO membuat angka BaTIS (dan mengapa untuk Indonesia semuanya hasil model)</t>
        </is>
      </c>
    </row>
    <row r="2">
      <c r="A2" s="2" t="inlineStr">
        <is>
          <t>Yang menghitung: OECD dan WTO. Kami hanya mengunduh hasilnya; tabel ini meringkas dokumen metodologi mereka.</t>
        </is>
      </c>
    </row>
    <row r="3">
      <c r="A3" s="3" t="inlineStr">
        <is>
          <t>Label abu-abu di bawah judul kolom → GIVEN: diambil apa adanya dari sumber · DIHITUNG SENDIRI: kami hitung, caranya tertulis · ASUMSI SENDIRI: pilihan kami karena sumber tidak menyediakan angkanya.</t>
        </is>
      </c>
    </row>
    <row r="4">
      <c r="A4" s="5" t="inlineStr">
        <is>
          <t>Dokumen metodologi OECD-WTO (PDF, Januari 2025)</t>
        </is>
      </c>
    </row>
    <row r="5" ht="20" customHeight="1">
      <c r="A5" s="6" t="inlineStr">
        <is>
          <t>Langkah</t>
        </is>
      </c>
      <c r="B5" s="6" t="inlineStr">
        <is>
          <t>Yang dilakukan OECD-WTO</t>
        </is>
      </c>
      <c r="C5" s="6" t="inlineStr">
        <is>
          <t>Dampak untuk angka Indonesia</t>
        </is>
      </c>
    </row>
    <row r="6" ht="45" customHeight="1">
      <c r="A6" s="8" t="inlineStr">
        <is>
          <t>A. Kumpulkan</t>
        </is>
      </c>
      <c r="B6" s="26" t="inlineStr">
        <is>
          <t>Mengumpulkan data bilateral yang dilaporkan semua negara</t>
        </is>
      </c>
      <c r="C6" s="26" t="inlineStr">
        <is>
          <t>Indonesia hanya melapor total dunia (2005–2024, 0 baris bilateral). Negara mitra (Australia, UE, AS, Jepang, dll.) melaporkan Indonesia.</t>
        </is>
      </c>
    </row>
    <row r="7" ht="45" customHeight="1">
      <c r="A7" s="8" t="inlineStr">
        <is>
          <t>B. Estimasi gravitasi</t>
        </is>
      </c>
      <c r="B7" s="26" t="inlineStr">
        <is>
          <t>Arus yang kosong diisi model gravitasi (regresi PPML) yang dijalankan OECD-WTO</t>
        </is>
      </c>
      <c r="C7" s="26" t="inlineStr">
        <is>
          <t>Variabel: PDB kedua negara, jarak, perbatasan, bahasa, hubungan kolonial, PDB per kapita, perdagangan jasa dengan dunia, tren waktu, perdagangan barang bilateral, efek tetap mitra, dan kedatangan/keberangkatan wisatawan (khusus perjalanan, data UN Tourism).</t>
        </is>
      </c>
    </row>
    <row r="8" ht="45" customHeight="1">
      <c r="A8" s="8" t="inlineStr">
        <is>
          <t>C. Penskalaan</t>
        </is>
      </c>
      <c r="B8" s="26" t="inlineStr">
        <is>
          <t>Hasil estimasi diskalakan ke total dunia tiap negara</t>
        </is>
      </c>
      <c r="C8" s="26" t="inlineStr">
        <is>
          <t>Total sisi Indonesia = total dunia Indonesia (= angka BI). Pangsa per negara mitra tetap dari model.</t>
        </is>
      </c>
    </row>
    <row r="9" ht="45" customHeight="1">
      <c r="A9" s="8" t="inlineStr">
        <is>
          <t>D. Konsistensi</t>
        </is>
      </c>
      <c r="B9" s="26" t="inlineStr">
        <is>
          <t>Perjalanan = bisnis + pribadi; jumlah semua mitra = dunia</t>
        </is>
      </c>
      <c r="C9" s="26" t="inlineStr">
        <is>
          <t>Penyesuaian kecil.</t>
        </is>
      </c>
    </row>
    <row r="10" ht="45" customHeight="1">
      <c r="A10" s="8" t="inlineStr">
        <is>
          <t>E. Penyeimbangan</t>
        </is>
      </c>
      <c r="B10" s="26" t="inlineStr">
        <is>
          <t>Nilai seimbang (B) = rata-rata tertimbang estimasi sisi Indonesia dan laporan mitra</t>
        </is>
      </c>
      <c r="C10" s="26" t="inlineStr">
        <is>
          <t>Bobot = indeks simetri pelapor (1 − asimetri, rata-rata 3 tahun) × bobot keyakinan metode (tabel bawah).</t>
        </is>
      </c>
    </row>
    <row r="11" ht="45" customHeight="1">
      <c r="A11" s="8" t="inlineStr">
        <is>
          <t>F. Ekstrapolasi</t>
        </is>
      </c>
      <c r="B11" s="26" t="inlineStr">
        <is>
          <t>Tahun terbaru diekstrapolasi dari deret waktu</t>
        </is>
      </c>
      <c r="C11" s="26" t="inlineStr">
        <is>
          <t>2023–2024: sebagian besar baris Indonesia berkode IE.</t>
        </is>
      </c>
    </row>
    <row r="13">
      <c r="A13" s="4" t="inlineStr">
        <is>
          <t>Bobot keyakinan metode (GIVEN, dari dokumen OECD-WTO)</t>
        </is>
      </c>
    </row>
    <row r="14" ht="20" customHeight="1">
      <c r="A14" s="6" t="inlineStr">
        <is>
          <t>Jenis data</t>
        </is>
      </c>
      <c r="B14" s="6" t="inlineStr">
        <is>
          <t>Bobot</t>
        </is>
      </c>
    </row>
    <row r="15">
      <c r="A15" s="8" t="inlineStr">
        <is>
          <t>Dilaporkan</t>
        </is>
      </c>
      <c r="B15" s="22" t="n">
        <v>1</v>
      </c>
    </row>
    <row r="16">
      <c r="A16" s="8" t="inlineStr">
        <is>
          <t>Deret waktu (interpolasi/ekstrapolasi)</t>
        </is>
      </c>
      <c r="B16" s="22" t="n">
        <v>0.75</v>
      </c>
    </row>
    <row r="17">
      <c r="A17" s="8" t="inlineStr">
        <is>
          <t>Model gravitasi</t>
        </is>
      </c>
      <c r="B17" s="22" t="n">
        <v>0.5</v>
      </c>
    </row>
    <row r="18">
      <c r="A18" s="8" t="inlineStr">
        <is>
          <t>Dilaporkan tapi tidak masuk akal</t>
        </is>
      </c>
      <c r="B18" s="22" t="n">
        <v>0.25</v>
      </c>
    </row>
    <row r="20">
      <c r="A20" s="4" t="inlineStr">
        <is>
          <t>Arti kode di data</t>
        </is>
      </c>
    </row>
    <row r="21" ht="20" customHeight="1">
      <c r="A21" s="6" t="inlineStr">
        <is>
          <t>Kode</t>
        </is>
      </c>
      <c r="B21" s="6" t="inlineStr">
        <is>
          <t>Arti</t>
        </is>
      </c>
    </row>
    <row r="22">
      <c r="A22" s="8" t="inlineStr">
        <is>
          <t>N</t>
        </is>
      </c>
      <c r="B22" s="8" t="inlineStr">
        <is>
          <t>Dilaporkan negara</t>
        </is>
      </c>
    </row>
    <row r="23">
      <c r="A23" s="8" t="inlineStr">
        <is>
          <t>F</t>
        </is>
      </c>
      <c r="B23" s="8" t="inlineStr">
        <is>
          <t>Estimasi/imputasi OECD-WTO</t>
        </is>
      </c>
    </row>
    <row r="24">
      <c r="A24" s="8" t="inlineStr">
        <is>
          <t>B</t>
        </is>
      </c>
      <c r="B24" s="8" t="inlineStr">
        <is>
          <t>Nilai seimbang</t>
        </is>
      </c>
    </row>
    <row r="25">
      <c r="A25" s="8" t="inlineStr">
        <is>
          <t>ME</t>
        </is>
      </c>
      <c r="B25" s="8" t="inlineStr">
        <is>
          <t>Estimasi model gravitasi</t>
        </is>
      </c>
    </row>
    <row r="26">
      <c r="A26" s="8" t="inlineStr">
        <is>
          <t>IE</t>
        </is>
      </c>
      <c r="B26" s="8" t="inlineStr">
        <is>
          <t>Interpolasi/ekstrapolasi</t>
        </is>
      </c>
    </row>
    <row r="27">
      <c r="A27" s="8" t="inlineStr">
        <is>
          <t>AG</t>
        </is>
      </c>
      <c r="B27" s="8" t="inlineStr">
        <is>
          <t>Agregasi</t>
        </is>
      </c>
    </row>
    <row r="29">
      <c r="A29" s="4" t="inlineStr">
        <is>
          <t>Contoh dari data: kredit Indonesia dari Australia, 2023 (USD juta)</t>
        </is>
      </c>
    </row>
    <row r="30" ht="20" customHeight="1">
      <c r="A30" s="6" t="inlineStr">
        <is>
          <t>Komponen</t>
        </is>
      </c>
      <c r="B30" s="6" t="inlineStr">
        <is>
          <t>Nilai</t>
        </is>
      </c>
      <c r="C30" s="6" t="inlineStr">
        <is>
          <t>Status</t>
        </is>
      </c>
    </row>
    <row r="31">
      <c r="A31" s="8" t="inlineStr">
        <is>
          <t>Estimasi OECD-WTO sisi Indonesia (F)</t>
        </is>
      </c>
      <c r="B31" s="9" t="n">
        <v>519.404776</v>
      </c>
      <c r="C31" s="8" t="inlineStr">
        <is>
          <t>GIVEN (OECD-WTO)</t>
        </is>
      </c>
    </row>
    <row r="32">
      <c r="A32" s="8" t="inlineStr">
        <is>
          <t>Laporan Australia (N)</t>
        </is>
      </c>
      <c r="B32" s="9" t="n">
        <v>5852.4</v>
      </c>
      <c r="C32" s="8" t="inlineStr">
        <is>
          <t>GIVEN (OECD-WTO; asal ABS)</t>
        </is>
      </c>
    </row>
    <row r="33">
      <c r="A33" s="8" t="inlineStr">
        <is>
          <t>Nilai seimbang (B)</t>
        </is>
      </c>
      <c r="B33" s="9" t="n">
        <v>3110.038926</v>
      </c>
      <c r="C33" s="8" t="inlineStr">
        <is>
          <t>GIVEN (OECD-WTO)</t>
        </is>
      </c>
    </row>
    <row r="34">
      <c r="A34" s="8" t="inlineStr">
        <is>
          <t>Bobot tersirat laporan Australia</t>
        </is>
      </c>
      <c r="B34" s="27" t="n">
        <v>0.485774699054934</v>
      </c>
      <c r="C34" s="8" t="inlineStr">
        <is>
          <t>DIHITUNG SENDIRI: (B − F) ÷ (N − F), hanya untuk ilustrasi</t>
        </is>
      </c>
    </row>
    <row r="36">
      <c r="A36" s="4" t="inlineStr">
        <is>
          <t>Batas model</t>
        </is>
      </c>
    </row>
    <row r="37" ht="32" customHeight="1">
      <c r="A37" s="28" t="inlineStr">
        <is>
          <t>Model gravitasi tidak tahu soal haji dan umrah. Debit Indonesia ke Arab Saudi menurut BaTIS hanya USD 114 juta (2024); hitungan BPS sekitar USD 3,648 juta dan biaya haji saja (di luar tiket) sekitar USD 917 juta. Karena itu BaTIS hanya dipakai sebagai pembanding.</t>
        </is>
      </c>
    </row>
  </sheetData>
  <mergeCells count="1">
    <mergeCell ref="A37:C37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52" customWidth="1" min="6" max="6"/>
    <col width="40" customWidth="1" min="7" max="7"/>
    <col width="16" customWidth="1" min="8" max="8"/>
  </cols>
  <sheetData>
    <row r="1">
      <c r="A1" s="1" t="inlineStr">
        <is>
          <t>Pembanding: penerimaan negara tujuan dari wisatawan Indonesia, 2024</t>
        </is>
      </c>
    </row>
    <row r="2">
      <c r="A2" s="2" t="inlineStr">
        <is>
          <t>Penerimaan negara tujuan dari wisatawan Indonesia = debit Indonesia. Hanya satu sisi neraca. Dikonversi ke USD dengan kurs Bank Dunia.</t>
        </is>
      </c>
    </row>
    <row r="3">
      <c r="A3" s="3" t="inlineStr">
        <is>
          <t>Label abu-abu di bawah judul kolom → GIVEN: diambil apa adanya dari sumber · DIHITUNG SENDIRI: kami hitung, caranya tertulis · ASUMSI SENDIRI: pilihan kami karena sumber tidak menyediakan angkanya.</t>
        </is>
      </c>
    </row>
    <row r="4" ht="30" customHeight="1">
      <c r="A4" s="6" t="inlineStr">
        <is>
          <t>Negara tujuan</t>
        </is>
      </c>
      <c r="B4" s="6" t="inlineStr">
        <is>
          <t>Nilai (mata uang lokal)</t>
        </is>
      </c>
      <c r="C4" s="6" t="inlineStr">
        <is>
          <t>Satuan</t>
        </is>
      </c>
      <c r="D4" s="6" t="inlineStr">
        <is>
          <t>Debit Indonesia (USD juta)</t>
        </is>
      </c>
      <c r="E4" s="6" t="inlineStr">
        <is>
          <t>Periode</t>
        </is>
      </c>
      <c r="F4" s="6" t="inlineStr">
        <is>
          <t>Status angka</t>
        </is>
      </c>
      <c r="G4" s="6" t="inlineStr">
        <is>
          <t>Catatan</t>
        </is>
      </c>
      <c r="H4" s="6" t="inlineStr">
        <is>
          <t>Sumber</t>
        </is>
      </c>
    </row>
    <row r="5" ht="40" customHeight="1">
      <c r="A5" s="8" t="inlineStr">
        <is>
          <t>Malaysia</t>
        </is>
      </c>
      <c r="B5" s="9" t="n">
        <v>15115.31</v>
      </c>
      <c r="C5" s="8" t="inlineStr">
        <is>
          <t>MYR juta</t>
        </is>
      </c>
      <c r="D5" s="9" t="n">
        <v>3230.199069777268</v>
      </c>
      <c r="E5" s="8" t="inlineStr">
        <is>
          <t>Jan–Des</t>
        </is>
      </c>
      <c r="F5" s="26" t="inlineStr">
        <is>
          <t>Nilai lokal GIVEN. USD DIHITUNG SENDIRI: RM × (1 − 2,2% tiket internasional) ÷ 4.5764 (kurs MYR per USD)</t>
        </is>
      </c>
      <c r="G5" s="8" t="inlineStr">
        <is>
          <t>Tiket pesawat internasional (2.2%) dikeluarkan</t>
        </is>
      </c>
      <c r="H5" s="25" t="inlineStr">
        <is>
          <t>Tourism Malaysia</t>
        </is>
      </c>
    </row>
    <row r="6" ht="40" customHeight="1">
      <c r="A6" s="8" t="inlineStr">
        <is>
          <t>Singapura</t>
        </is>
      </c>
      <c r="B6" s="9" t="n">
        <v>2130</v>
      </c>
      <c r="C6" s="8" t="inlineStr">
        <is>
          <t>SGD juta</t>
        </is>
      </c>
      <c r="D6" s="9" t="n">
        <v>1594.032978272262</v>
      </c>
      <c r="E6" s="8" t="inlineStr">
        <is>
          <t>Jan–Sep</t>
        </is>
      </c>
      <c r="F6" s="26" t="inlineStr">
        <is>
          <t>Nilai lokal GIVEN. USD DIHITUNG SENDIRI: S$ ÷ 1.3362 (kurs SGD per USD)</t>
        </is>
      </c>
      <c r="G6" s="8" t="inlineStr">
        <is>
          <t>Hanya Jan–Sep; tanpa wisata, hiburan &amp; judi</t>
        </is>
      </c>
      <c r="H6" s="25" t="inlineStr">
        <is>
          <t>STB</t>
        </is>
      </c>
    </row>
    <row r="7" ht="40" customHeight="1">
      <c r="A7" s="8" t="inlineStr">
        <is>
          <t>Arab Saudi</t>
        </is>
      </c>
      <c r="B7" s="9" t="n">
        <v>14534778.926</v>
      </c>
      <c r="C7" s="8" t="inlineStr">
        <is>
          <t>IDR juta</t>
        </is>
      </c>
      <c r="D7" s="9" t="n">
        <v>916.705643587433</v>
      </c>
      <c r="E7" s="8" t="inlineStr">
        <is>
          <t>Musim haji</t>
        </is>
      </c>
      <c r="F7" s="26" t="inlineStr">
        <is>
          <t>DIHITUNG SENDIRI: kuota haji 2024 (GIVEN) × (BPIH rata-rata − biaya tiket) ÷ 15,855 (kurs IDR). ASUMSI SENDIRI: biaya tiket final 2025 (Rp33,1 juta) dipakai untuk 2024.</t>
        </is>
      </c>
      <c r="G7" s="8" t="inlineStr">
        <is>
          <t>Haji saja (kuota × biaya di luar tiket); umrah tidak tersedia</t>
        </is>
      </c>
      <c r="H7" s="25" t="inlineStr">
        <is>
          <t>Haji</t>
        </is>
      </c>
    </row>
    <row r="8" ht="40" customHeight="1">
      <c r="A8" s="8" t="inlineStr">
        <is>
          <t>Thailand</t>
        </is>
      </c>
      <c r="B8" s="9" t="n">
        <v>29218.46</v>
      </c>
      <c r="C8" s="8" t="inlineStr">
        <is>
          <t>THB juta</t>
        </is>
      </c>
      <c r="D8" s="9" t="n">
        <v>827.83</v>
      </c>
      <c r="E8" s="8" t="inlineStr">
        <is>
          <t>Jan–Des</t>
        </is>
      </c>
      <c r="F8" s="26" t="inlineStr">
        <is>
          <t>GIVEN: nilai USD langsung dari publikasi MOTS (tidak dikonversi ulang)</t>
        </is>
      </c>
      <c r="G8" s="8" t="inlineStr">
        <is>
          <t>USD sesuai publikasi MOTS</t>
        </is>
      </c>
      <c r="H8" s="25" t="inlineStr">
        <is>
          <t>MOTS</t>
        </is>
      </c>
    </row>
    <row r="9" ht="40" customHeight="1">
      <c r="A9" s="8" t="inlineStr">
        <is>
          <t>Jepang</t>
        </is>
      </c>
      <c r="B9" s="9" t="n">
        <v>110900</v>
      </c>
      <c r="C9" s="8" t="inlineStr">
        <is>
          <t>JPY juta</t>
        </is>
      </c>
      <c r="D9" s="9" t="n">
        <v>732.6598217180766</v>
      </c>
      <c r="E9" s="8" t="inlineStr">
        <is>
          <t>Jan–Des</t>
        </is>
      </c>
      <c r="F9" s="26" t="inlineStr">
        <is>
          <t>GIVEN ¥1.109 oku (= ¥110.900 juta). USD DIHITUNG SENDIRI: ÷ 151.37 (kurs JPY per USD)</t>
        </is>
      </c>
      <c r="G9" s="8" t="inlineStr"/>
      <c r="H9" s="25" t="inlineStr">
        <is>
          <t>JTA</t>
        </is>
      </c>
    </row>
    <row r="12">
      <c r="A12" s="4" t="inlineStr">
        <is>
          <t>Data grafik: Top 5, 2024, USD juta (salinan dari tabel utama)</t>
        </is>
      </c>
    </row>
    <row r="13" ht="18" customHeight="1">
      <c r="A13" s="6" t="inlineStr">
        <is>
          <t>Negara</t>
        </is>
      </c>
      <c r="B13" s="6" t="inlineStr">
        <is>
          <t>Debit</t>
        </is>
      </c>
    </row>
    <row r="14">
      <c r="A14" s="8" t="inlineStr">
        <is>
          <t>Malaysia</t>
        </is>
      </c>
      <c r="B14" s="10" t="n">
        <v>3230.199069777268</v>
      </c>
    </row>
    <row r="15">
      <c r="A15" s="8" t="inlineStr">
        <is>
          <t>Singapura</t>
        </is>
      </c>
      <c r="B15" s="10" t="n">
        <v>1594.032978272262</v>
      </c>
    </row>
    <row r="16">
      <c r="A16" s="8" t="inlineStr">
        <is>
          <t>Arab Saudi</t>
        </is>
      </c>
      <c r="B16" s="10" t="n">
        <v>916.705643587433</v>
      </c>
    </row>
    <row r="17">
      <c r="A17" s="8" t="inlineStr">
        <is>
          <t>Thailand</t>
        </is>
      </c>
      <c r="B17" s="10" t="n">
        <v>827.83</v>
      </c>
    </row>
    <row r="18">
      <c r="A18" s="8" t="inlineStr">
        <is>
          <t>Jepang</t>
        </is>
      </c>
      <c r="B18" s="10" t="n">
        <v>732.6598217180766</v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</hyperlinks>
  <pageMargins left="0.75" right="0.75" top="1" bottom="1" header="0.5" footer="0.5"/>
  <drawing xmlns:r="http://schemas.openxmlformats.org/officeDocument/2006/relationships" r:id="rId6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Tren neraca Indonesia per negara (USD juta)</t>
        </is>
      </c>
    </row>
    <row r="2">
      <c r="A2" s="2" t="inlineStr">
        <is>
          <t>BPS hanya tersedia untuk tahun publikasi; untuk deret panjang dipakai dua pembanding: mirror OECD TIS (negara pelapor) dan BaTIS (semua negara, hasil model).</t>
        </is>
      </c>
    </row>
    <row r="3">
      <c r="A3" s="3" t="inlineStr">
        <is>
          <t>Label abu-abu di bawah judul kolom → GIVEN: diambil apa adanya dari sumber · DIHITUNG SENDIRI: kami hitung, caranya tertulis · ASUMSI SENDIRI: pilihan kami karena sumber tidak menyediakan angkanya.</t>
        </is>
      </c>
    </row>
    <row r="4">
      <c r="A4" s="4" t="inlineStr">
        <is>
          <t>Mirror OECD TIS (10 negara dengan neraca terbesar)</t>
        </is>
      </c>
    </row>
    <row r="5" ht="20" customHeight="1">
      <c r="A5" s="6" t="inlineStr">
        <is>
          <t>Negara</t>
        </is>
      </c>
      <c r="B5" s="6" t="n">
        <v>2010</v>
      </c>
      <c r="C5" s="6" t="n">
        <v>2011</v>
      </c>
      <c r="D5" s="6" t="n">
        <v>2012</v>
      </c>
      <c r="E5" s="6" t="n">
        <v>2013</v>
      </c>
      <c r="F5" s="6" t="n">
        <v>2014</v>
      </c>
      <c r="G5" s="6" t="n">
        <v>2015</v>
      </c>
      <c r="H5" s="6" t="n">
        <v>2016</v>
      </c>
      <c r="I5" s="6" t="n">
        <v>2017</v>
      </c>
      <c r="J5" s="6" t="n">
        <v>2018</v>
      </c>
      <c r="K5" s="6" t="n">
        <v>2019</v>
      </c>
      <c r="L5" s="6" t="n">
        <v>2020</v>
      </c>
      <c r="M5" s="6" t="n">
        <v>2021</v>
      </c>
      <c r="N5" s="6" t="n">
        <v>2022</v>
      </c>
      <c r="O5" s="6" t="n">
        <v>2023</v>
      </c>
      <c r="P5" s="6" t="n">
        <v>2024</v>
      </c>
    </row>
    <row r="6" ht="18" customHeight="1">
      <c r="A6" s="7" t="n"/>
      <c r="B6" s="7" t="inlineStr">
        <is>
          <t>DIHITUNG SENDIRI: kredit − debit Indonesia; kredit dan debit GIVEN dari OECD TIS (mirroring)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8" t="inlineStr">
        <is>
          <t>Australia</t>
        </is>
      </c>
      <c r="B7" s="10" t="n">
        <v>920.0999999999999</v>
      </c>
      <c r="C7" s="10" t="n">
        <v>1246</v>
      </c>
      <c r="D7" s="10" t="n">
        <v>1423.7</v>
      </c>
      <c r="E7" s="10" t="n">
        <v>1460.6</v>
      </c>
      <c r="F7" s="10" t="n">
        <v>1440.5</v>
      </c>
      <c r="G7" s="10" t="n">
        <v>1259.2</v>
      </c>
      <c r="H7" s="10" t="n">
        <v>1518</v>
      </c>
      <c r="I7" s="10" t="n">
        <v>1443.1</v>
      </c>
      <c r="J7" s="10" t="n">
        <v>1681.1</v>
      </c>
      <c r="K7" s="10" t="n">
        <v>1794.9</v>
      </c>
      <c r="L7" s="10" t="n">
        <v>-90.80000000000007</v>
      </c>
      <c r="M7" s="10" t="n">
        <v>-445.5</v>
      </c>
      <c r="N7" s="10" t="n">
        <v>1538.5</v>
      </c>
      <c r="O7" s="10" t="n">
        <v>4534.299999999999</v>
      </c>
      <c r="P7" s="10" t="n">
        <v>5217.3</v>
      </c>
    </row>
    <row r="8">
      <c r="A8" s="8" t="inlineStr">
        <is>
          <t>Jepang</t>
        </is>
      </c>
      <c r="B8" s="10" t="n"/>
      <c r="C8" s="10" t="n"/>
      <c r="D8" s="10" t="n"/>
      <c r="E8" s="10" t="n"/>
      <c r="F8" s="10" t="n">
        <v>161</v>
      </c>
      <c r="G8" s="10" t="n">
        <v>135.1</v>
      </c>
      <c r="H8" s="10" t="n">
        <v>264.3</v>
      </c>
      <c r="I8" s="10" t="n">
        <v>0.2999999999999545</v>
      </c>
      <c r="J8" s="10" t="n">
        <v>-128.9999999999999</v>
      </c>
      <c r="K8" s="10" t="n">
        <v>15.5</v>
      </c>
      <c r="L8" s="10" t="n">
        <v>-115.7</v>
      </c>
      <c r="M8" s="10" t="n">
        <v>-97.89999999999999</v>
      </c>
      <c r="N8" s="10" t="n">
        <v>-143.5</v>
      </c>
      <c r="O8" s="10" t="n">
        <v>-217.8</v>
      </c>
      <c r="P8" s="10" t="n">
        <v>-460.4</v>
      </c>
    </row>
    <row r="9">
      <c r="A9" s="8" t="inlineStr">
        <is>
          <t>Belanda</t>
        </is>
      </c>
      <c r="B9" s="10" t="n"/>
      <c r="C9" s="10" t="n"/>
      <c r="D9" s="10" t="n"/>
      <c r="E9" s="10" t="n"/>
      <c r="F9" s="10" t="n">
        <v>153.2</v>
      </c>
      <c r="G9" s="10" t="n">
        <v>186.6</v>
      </c>
      <c r="H9" s="10" t="n">
        <v>98.8</v>
      </c>
      <c r="I9" s="10" t="n">
        <v>132.8</v>
      </c>
      <c r="J9" s="10" t="n">
        <v>255.4</v>
      </c>
      <c r="K9" s="10" t="n">
        <v>178.1</v>
      </c>
      <c r="L9" s="10" t="n">
        <v>-18.4</v>
      </c>
      <c r="M9" s="10" t="n">
        <v>-24</v>
      </c>
      <c r="N9" s="10" t="n">
        <v>51.2</v>
      </c>
      <c r="O9" s="10" t="n">
        <v>198.3</v>
      </c>
      <c r="P9" s="10" t="n">
        <v>210.4</v>
      </c>
    </row>
    <row r="10">
      <c r="A10" s="8" t="inlineStr">
        <is>
          <t>Italia</t>
        </is>
      </c>
      <c r="B10" s="10" t="n">
        <v>34.5</v>
      </c>
      <c r="C10" s="10" t="n">
        <v>56.1</v>
      </c>
      <c r="D10" s="10" t="n">
        <v>41.90000000000001</v>
      </c>
      <c r="E10" s="10" t="n">
        <v>97.09999999999999</v>
      </c>
      <c r="F10" s="10" t="n">
        <v>125.5</v>
      </c>
      <c r="G10" s="10" t="n">
        <v>129.9</v>
      </c>
      <c r="H10" s="10" t="n">
        <v>162.1</v>
      </c>
      <c r="I10" s="10" t="n">
        <v>151.2</v>
      </c>
      <c r="J10" s="10" t="n">
        <v>153.8</v>
      </c>
      <c r="K10" s="10" t="n">
        <v>147.2</v>
      </c>
      <c r="L10" s="10" t="n">
        <v>31.5</v>
      </c>
      <c r="M10" s="10" t="n">
        <v>-18.8</v>
      </c>
      <c r="N10" s="10" t="n">
        <v>84.69999999999999</v>
      </c>
      <c r="O10" s="10" t="n">
        <v>244.5</v>
      </c>
      <c r="P10" s="10" t="n">
        <v>199</v>
      </c>
    </row>
    <row r="11">
      <c r="A11" s="8" t="inlineStr">
        <is>
          <t>Amerika Serikat</t>
        </is>
      </c>
      <c r="B11" s="10" t="n">
        <v>-241</v>
      </c>
      <c r="C11" s="10" t="n">
        <v>-303</v>
      </c>
      <c r="D11" s="10" t="n">
        <v>-352</v>
      </c>
      <c r="E11" s="10" t="n">
        <v>-458</v>
      </c>
      <c r="F11" s="10" t="n">
        <v>-461</v>
      </c>
      <c r="G11" s="10" t="n">
        <v>-415</v>
      </c>
      <c r="H11" s="10" t="n">
        <v>-367</v>
      </c>
      <c r="I11" s="10" t="n">
        <v>-356</v>
      </c>
      <c r="J11" s="10" t="n">
        <v>-308</v>
      </c>
      <c r="K11" s="10" t="n">
        <v>-270</v>
      </c>
      <c r="L11" s="10" t="n">
        <v>-203</v>
      </c>
      <c r="M11" s="10" t="n">
        <v>-300</v>
      </c>
      <c r="N11" s="10" t="n">
        <v>-335</v>
      </c>
      <c r="O11" s="10" t="n">
        <v>-140</v>
      </c>
      <c r="P11" s="10" t="n">
        <v>107</v>
      </c>
    </row>
    <row r="12">
      <c r="A12" s="8" t="inlineStr">
        <is>
          <t>Prancis</t>
        </is>
      </c>
      <c r="B12" s="10" t="n"/>
      <c r="C12" s="10" t="n">
        <v>137.8</v>
      </c>
      <c r="D12" s="10" t="n">
        <v>151.7</v>
      </c>
      <c r="E12" s="10" t="n">
        <v>132.8</v>
      </c>
      <c r="F12" s="10" t="n">
        <v>188.7</v>
      </c>
      <c r="G12" s="10" t="n">
        <v>83.30000000000001</v>
      </c>
      <c r="H12" s="10" t="n">
        <v>129.5</v>
      </c>
      <c r="I12" s="10" t="n">
        <v>122</v>
      </c>
      <c r="J12" s="10" t="n">
        <v>27.09999999999999</v>
      </c>
      <c r="K12" s="10" t="n">
        <v>45.90000000000001</v>
      </c>
      <c r="L12" s="10" t="n">
        <v>25.09999999999999</v>
      </c>
      <c r="M12" s="10" t="n">
        <v>1.099999999999994</v>
      </c>
      <c r="N12" s="10" t="n">
        <v>-32.59999999999999</v>
      </c>
      <c r="O12" s="10" t="n">
        <v>59.5</v>
      </c>
      <c r="P12" s="10" t="n">
        <v>102.9</v>
      </c>
    </row>
    <row r="13">
      <c r="A13" s="8" t="inlineStr">
        <is>
          <t>Selandia Baru</t>
        </is>
      </c>
      <c r="B13" s="10" t="n">
        <v>-9.299999999999997</v>
      </c>
      <c r="C13" s="10" t="n">
        <v>-11</v>
      </c>
      <c r="D13" s="10" t="n">
        <v>-5.699999999999996</v>
      </c>
      <c r="E13" s="10" t="n">
        <v>5.699999999999996</v>
      </c>
      <c r="F13" s="10" t="n">
        <v>17.40000000000001</v>
      </c>
      <c r="G13" s="10" t="n">
        <v>9.5</v>
      </c>
      <c r="H13" s="10" t="n">
        <v>13.8</v>
      </c>
      <c r="I13" s="10" t="n">
        <v>3.400000000000006</v>
      </c>
      <c r="J13" s="10" t="n">
        <v>14.40000000000001</v>
      </c>
      <c r="K13" s="10" t="n">
        <v>23.8</v>
      </c>
      <c r="L13" s="10" t="n">
        <v>-34.5</v>
      </c>
      <c r="M13" s="10" t="n">
        <v>-28.1</v>
      </c>
      <c r="N13" s="10" t="n">
        <v>14.6</v>
      </c>
      <c r="O13" s="10" t="n">
        <v>39.8</v>
      </c>
      <c r="P13" s="10" t="n">
        <v>64.99999999999999</v>
      </c>
    </row>
    <row r="14">
      <c r="A14" s="8" t="inlineStr">
        <is>
          <t>Finlandia</t>
        </is>
      </c>
      <c r="B14" s="10" t="n"/>
      <c r="C14" s="10" t="n"/>
      <c r="D14" s="10" t="n"/>
      <c r="E14" s="10" t="n"/>
      <c r="F14" s="10" t="n"/>
      <c r="G14" s="10" t="n">
        <v>11.1</v>
      </c>
      <c r="H14" s="10" t="n">
        <v>4.5</v>
      </c>
      <c r="I14" s="10" t="n">
        <v>13.6</v>
      </c>
      <c r="J14" s="10" t="n">
        <v>53.2</v>
      </c>
      <c r="K14" s="10" t="n">
        <v>69.39999999999999</v>
      </c>
      <c r="L14" s="10" t="n">
        <v>11.5</v>
      </c>
      <c r="M14" s="10" t="n">
        <v>21.3</v>
      </c>
      <c r="N14" s="10" t="n">
        <v>67.40000000000001</v>
      </c>
      <c r="O14" s="10" t="n">
        <v>76.7</v>
      </c>
      <c r="P14" s="10" t="n">
        <v>64.90000000000001</v>
      </c>
    </row>
    <row r="15">
      <c r="A15" s="8" t="inlineStr">
        <is>
          <t>Denmark</t>
        </is>
      </c>
      <c r="B15" s="10" t="n">
        <v>12</v>
      </c>
      <c r="C15" s="10" t="n">
        <v>17.9</v>
      </c>
      <c r="D15" s="10" t="n">
        <v>18.1</v>
      </c>
      <c r="E15" s="10" t="n">
        <v>21.1</v>
      </c>
      <c r="F15" s="10" t="n">
        <v>27.9</v>
      </c>
      <c r="G15" s="10" t="n">
        <v>24.3</v>
      </c>
      <c r="H15" s="10" t="n">
        <v>28.5</v>
      </c>
      <c r="I15" s="10" t="n">
        <v>33.4</v>
      </c>
      <c r="J15" s="10" t="n">
        <v>32.8</v>
      </c>
      <c r="K15" s="10" t="n">
        <v>29.1</v>
      </c>
      <c r="L15" s="10" t="n">
        <v>9.799999999999999</v>
      </c>
      <c r="M15" s="10" t="n">
        <v>16.6</v>
      </c>
      <c r="N15" s="10" t="n">
        <v>23</v>
      </c>
      <c r="O15" s="10" t="n">
        <v>33.8</v>
      </c>
      <c r="P15" s="10" t="n">
        <v>55.90000000000001</v>
      </c>
    </row>
    <row r="16">
      <c r="A16" s="8" t="inlineStr">
        <is>
          <t>Inggris</t>
        </is>
      </c>
      <c r="B16" s="10" t="n">
        <v>1.5</v>
      </c>
      <c r="C16" s="10" t="n">
        <v>38.5</v>
      </c>
      <c r="D16" s="10" t="n">
        <v>31.59999999999999</v>
      </c>
      <c r="E16" s="10" t="n">
        <v>37.39999999999999</v>
      </c>
      <c r="F16" s="10" t="n">
        <v>42.70000000000002</v>
      </c>
      <c r="G16" s="10" t="n">
        <v>36.60000000000001</v>
      </c>
      <c r="H16" s="10" t="n">
        <v>-55.40000000000001</v>
      </c>
      <c r="I16" s="10" t="n">
        <v>-47.60000000000002</v>
      </c>
      <c r="J16" s="10" t="n">
        <v>0</v>
      </c>
      <c r="K16" s="10" t="n">
        <v>-62.5</v>
      </c>
      <c r="L16" s="10" t="n">
        <v>-92.30000000000001</v>
      </c>
      <c r="M16" s="10" t="n">
        <v>-160.9</v>
      </c>
      <c r="N16" s="10" t="n">
        <v>-108.5</v>
      </c>
      <c r="O16" s="10" t="n">
        <v>99.40000000000003</v>
      </c>
      <c r="P16" s="10" t="n">
        <v>52.39999999999998</v>
      </c>
    </row>
    <row r="18">
      <c r="A18" s="4" t="inlineStr">
        <is>
          <t>BaTIS nilai seimbang (10 negara dengan neraca terbesar)</t>
        </is>
      </c>
    </row>
    <row r="19" ht="20" customHeight="1">
      <c r="A19" s="6" t="inlineStr">
        <is>
          <t>Negara</t>
        </is>
      </c>
      <c r="B19" s="6" t="n">
        <v>2010</v>
      </c>
      <c r="C19" s="6" t="n">
        <v>2011</v>
      </c>
      <c r="D19" s="6" t="n">
        <v>2012</v>
      </c>
      <c r="E19" s="6" t="n">
        <v>2013</v>
      </c>
      <c r="F19" s="6" t="n">
        <v>2014</v>
      </c>
      <c r="G19" s="6" t="n">
        <v>2015</v>
      </c>
      <c r="H19" s="6" t="n">
        <v>2016</v>
      </c>
      <c r="I19" s="6" t="n">
        <v>2017</v>
      </c>
      <c r="J19" s="6" t="n">
        <v>2018</v>
      </c>
      <c r="K19" s="6" t="n">
        <v>2019</v>
      </c>
      <c r="L19" s="6" t="n">
        <v>2020</v>
      </c>
      <c r="M19" s="6" t="n">
        <v>2021</v>
      </c>
      <c r="N19" s="6" t="n">
        <v>2022</v>
      </c>
      <c r="O19" s="6" t="n">
        <v>2023</v>
      </c>
      <c r="P19" s="6" t="n">
        <v>2024</v>
      </c>
    </row>
    <row r="20" ht="18" customHeight="1">
      <c r="A20" s="7" t="n"/>
      <c r="B20" s="7" t="inlineStr">
        <is>
          <t>DIHITUNG SENDIRI: kredit B − debit B; kredit dan debit GIVEN dari OECD-WTO BaTIS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8" t="inlineStr">
        <is>
          <t>Australia</t>
        </is>
      </c>
      <c r="B21" s="10" t="n">
        <v>543.4438319999999</v>
      </c>
      <c r="C21" s="10" t="n">
        <v>754.019284</v>
      </c>
      <c r="D21" s="10" t="n">
        <v>862.2912660000001</v>
      </c>
      <c r="E21" s="10" t="n">
        <v>868.4025719999999</v>
      </c>
      <c r="F21" s="10" t="n">
        <v>883.6863689999999</v>
      </c>
      <c r="G21" s="10" t="n">
        <v>790.0119610000002</v>
      </c>
      <c r="H21" s="10" t="n">
        <v>931.509823</v>
      </c>
      <c r="I21" s="10" t="n">
        <v>859.172849</v>
      </c>
      <c r="J21" s="10" t="n">
        <v>1038.514726</v>
      </c>
      <c r="K21" s="10" t="n">
        <v>1078.692845</v>
      </c>
      <c r="L21" s="10" t="n">
        <v>-85.88514200000003</v>
      </c>
      <c r="M21" s="10" t="n">
        <v>-357.856693</v>
      </c>
      <c r="N21" s="10" t="n">
        <v>569.144975</v>
      </c>
      <c r="O21" s="10" t="n">
        <v>2010.143436</v>
      </c>
      <c r="P21" s="10" t="n">
        <v>2473.75429</v>
      </c>
    </row>
    <row r="22">
      <c r="A22" s="8" t="inlineStr">
        <is>
          <t>Tiongkok</t>
        </is>
      </c>
      <c r="B22" s="10" t="n">
        <v>304.424089</v>
      </c>
      <c r="C22" s="10" t="n">
        <v>529.830882</v>
      </c>
      <c r="D22" s="10" t="n">
        <v>625.8372549999999</v>
      </c>
      <c r="E22" s="10" t="n">
        <v>707.7891260000001</v>
      </c>
      <c r="F22" s="10" t="n">
        <v>925.6278659999999</v>
      </c>
      <c r="G22" s="10" t="n">
        <v>909.396831</v>
      </c>
      <c r="H22" s="10" t="n">
        <v>1009.087122</v>
      </c>
      <c r="I22" s="10" t="n">
        <v>1281.258036</v>
      </c>
      <c r="J22" s="10" t="n">
        <v>1597.155055</v>
      </c>
      <c r="K22" s="10" t="n">
        <v>1551.71454</v>
      </c>
      <c r="L22" s="10" t="n">
        <v>1017.271253</v>
      </c>
      <c r="M22" s="10" t="n">
        <v>576.1012900000001</v>
      </c>
      <c r="N22" s="10" t="n">
        <v>1035.385124</v>
      </c>
      <c r="O22" s="10" t="n">
        <v>1735.790467</v>
      </c>
      <c r="P22" s="10" t="n">
        <v>1962.594729</v>
      </c>
    </row>
    <row r="23">
      <c r="A23" s="8" t="inlineStr">
        <is>
          <t>Malaysia</t>
        </is>
      </c>
      <c r="B23" s="10" t="n">
        <v>-204.003961</v>
      </c>
      <c r="C23" s="10" t="n">
        <v>-11.44773499999997</v>
      </c>
      <c r="D23" s="10" t="n">
        <v>-35.31981099999996</v>
      </c>
      <c r="E23" s="10" t="n">
        <v>-260.3469469999999</v>
      </c>
      <c r="F23" s="10" t="n">
        <v>-314.6825270000001</v>
      </c>
      <c r="G23" s="10" t="n">
        <v>-432.7011209999999</v>
      </c>
      <c r="H23" s="10" t="n">
        <v>-391.0297310000001</v>
      </c>
      <c r="I23" s="10" t="n">
        <v>-331.3784469999999</v>
      </c>
      <c r="J23" s="10" t="n">
        <v>-868.4534270000001</v>
      </c>
      <c r="K23" s="10" t="n">
        <v>-911.7581230000001</v>
      </c>
      <c r="L23" s="10" t="n">
        <v>-44.86210800000001</v>
      </c>
      <c r="M23" s="10" t="n">
        <v>63.99145</v>
      </c>
      <c r="N23" s="10" t="n">
        <v>-356.955229</v>
      </c>
      <c r="O23" s="10" t="n">
        <v>-702.740357</v>
      </c>
      <c r="P23" s="10" t="n">
        <v>-960.7787340000001</v>
      </c>
    </row>
    <row r="24">
      <c r="A24" s="8" t="inlineStr">
        <is>
          <t>Hong Kong</t>
        </is>
      </c>
      <c r="B24" s="10" t="n">
        <v>-181.619705</v>
      </c>
      <c r="C24" s="10" t="n">
        <v>-256.288324</v>
      </c>
      <c r="D24" s="10" t="n">
        <v>-249.278428</v>
      </c>
      <c r="E24" s="10" t="n">
        <v>-248.796021</v>
      </c>
      <c r="F24" s="10" t="n">
        <v>-219.092943</v>
      </c>
      <c r="G24" s="10" t="n">
        <v>-180.059949</v>
      </c>
      <c r="H24" s="10" t="n">
        <v>-188.07363</v>
      </c>
      <c r="I24" s="10" t="n">
        <v>-190.716226</v>
      </c>
      <c r="J24" s="10" t="n">
        <v>-209.462343</v>
      </c>
      <c r="K24" s="10" t="n">
        <v>-212.577273</v>
      </c>
      <c r="L24" s="10" t="n">
        <v>-21.974382</v>
      </c>
      <c r="M24" s="10" t="n">
        <v>-13.186307</v>
      </c>
      <c r="N24" s="10" t="n">
        <v>-153.346305</v>
      </c>
      <c r="O24" s="10" t="n">
        <v>-490.202634</v>
      </c>
      <c r="P24" s="10" t="n">
        <v>-529.540573</v>
      </c>
    </row>
    <row r="25">
      <c r="A25" s="8" t="inlineStr">
        <is>
          <t>India</t>
        </is>
      </c>
      <c r="B25" s="10" t="n">
        <v>154.320776</v>
      </c>
      <c r="C25" s="10" t="n">
        <v>199.967659</v>
      </c>
      <c r="D25" s="10" t="n">
        <v>199.968647</v>
      </c>
      <c r="E25" s="10" t="n">
        <v>223.875346</v>
      </c>
      <c r="F25" s="10" t="n">
        <v>274.779811</v>
      </c>
      <c r="G25" s="10" t="n">
        <v>311.040647</v>
      </c>
      <c r="H25" s="10" t="n">
        <v>327.847178</v>
      </c>
      <c r="I25" s="10" t="n">
        <v>405.441849</v>
      </c>
      <c r="J25" s="10" t="n">
        <v>433.266372</v>
      </c>
      <c r="K25" s="10" t="n">
        <v>426.630014</v>
      </c>
      <c r="L25" s="10" t="n">
        <v>198.408794</v>
      </c>
      <c r="M25" s="10" t="n">
        <v>84.12131400000001</v>
      </c>
      <c r="N25" s="10" t="n">
        <v>380.139294</v>
      </c>
      <c r="O25" s="10" t="n">
        <v>449.120883</v>
      </c>
      <c r="P25" s="10" t="n">
        <v>496.889268</v>
      </c>
    </row>
    <row r="26">
      <c r="A26" s="8" t="inlineStr">
        <is>
          <t>Thailand</t>
        </is>
      </c>
      <c r="B26" s="10" t="n">
        <v>-217.871437</v>
      </c>
      <c r="C26" s="10" t="n">
        <v>-300.156883</v>
      </c>
      <c r="D26" s="10" t="n">
        <v>-355.1591470000001</v>
      </c>
      <c r="E26" s="10" t="n">
        <v>-414.292862</v>
      </c>
      <c r="F26" s="10" t="n">
        <v>-351.843154</v>
      </c>
      <c r="G26" s="10" t="n">
        <v>-355.0454050000001</v>
      </c>
      <c r="H26" s="10" t="n">
        <v>-390.326432</v>
      </c>
      <c r="I26" s="10" t="n">
        <v>-423.490109</v>
      </c>
      <c r="J26" s="10" t="n">
        <v>-458.641699</v>
      </c>
      <c r="K26" s="10" t="n">
        <v>-491.376721</v>
      </c>
      <c r="L26" s="10" t="n">
        <v>-108.878075</v>
      </c>
      <c r="M26" s="10" t="n">
        <v>-31.37907999999999</v>
      </c>
      <c r="N26" s="10" t="n">
        <v>-215.732133</v>
      </c>
      <c r="O26" s="10" t="n">
        <v>-317.874646</v>
      </c>
      <c r="P26" s="10" t="n">
        <v>-427.5637620000001</v>
      </c>
    </row>
    <row r="27">
      <c r="A27" s="8" t="inlineStr">
        <is>
          <t>Jerman</t>
        </is>
      </c>
      <c r="B27" s="10" t="n">
        <v>113.896412</v>
      </c>
      <c r="C27" s="10" t="n">
        <v>207.185475</v>
      </c>
      <c r="D27" s="10" t="n">
        <v>162.684366</v>
      </c>
      <c r="E27" s="10" t="n">
        <v>185.221405</v>
      </c>
      <c r="F27" s="10" t="n">
        <v>238.270867</v>
      </c>
      <c r="G27" s="10" t="n">
        <v>276.227039</v>
      </c>
      <c r="H27" s="10" t="n">
        <v>249.085338</v>
      </c>
      <c r="I27" s="10" t="n">
        <v>348.709428</v>
      </c>
      <c r="J27" s="10" t="n">
        <v>437.5742550000001</v>
      </c>
      <c r="K27" s="10" t="n">
        <v>331.1372689999999</v>
      </c>
      <c r="L27" s="10" t="n">
        <v>70.02252900000001</v>
      </c>
      <c r="M27" s="10" t="n">
        <v>79.883645</v>
      </c>
      <c r="N27" s="10" t="n">
        <v>209.45413</v>
      </c>
      <c r="O27" s="10" t="n">
        <v>376.208415</v>
      </c>
      <c r="P27" s="10" t="n">
        <v>352.353665</v>
      </c>
    </row>
    <row r="28">
      <c r="A28" s="8" t="inlineStr">
        <is>
          <t>Korea Selatan</t>
        </is>
      </c>
      <c r="B28" s="10" t="n">
        <v>189.665824</v>
      </c>
      <c r="C28" s="10" t="n">
        <v>200.911193</v>
      </c>
      <c r="D28" s="10" t="n">
        <v>212.36674</v>
      </c>
      <c r="E28" s="10" t="n">
        <v>193.208001</v>
      </c>
      <c r="F28" s="10" t="n">
        <v>208.209898</v>
      </c>
      <c r="G28" s="10" t="n">
        <v>210.626261</v>
      </c>
      <c r="H28" s="10" t="n">
        <v>218.003687</v>
      </c>
      <c r="I28" s="10" t="n">
        <v>272.216331</v>
      </c>
      <c r="J28" s="10" t="n">
        <v>320.456383</v>
      </c>
      <c r="K28" s="10" t="n">
        <v>267.691427</v>
      </c>
      <c r="L28" s="10" t="n">
        <v>124.548368</v>
      </c>
      <c r="M28" s="10" t="n">
        <v>93.814975</v>
      </c>
      <c r="N28" s="10" t="n">
        <v>178.024108</v>
      </c>
      <c r="O28" s="10" t="n">
        <v>275.856846</v>
      </c>
      <c r="P28" s="10" t="n">
        <v>302.0899</v>
      </c>
    </row>
    <row r="29">
      <c r="A29" s="8" t="inlineStr">
        <is>
          <t>Taiwan</t>
        </is>
      </c>
      <c r="B29" s="10" t="n">
        <v>106.409804</v>
      </c>
      <c r="C29" s="10" t="n">
        <v>111.108973</v>
      </c>
      <c r="D29" s="10" t="n">
        <v>129.392547</v>
      </c>
      <c r="E29" s="10" t="n">
        <v>134.350717</v>
      </c>
      <c r="F29" s="10" t="n">
        <v>162.353545</v>
      </c>
      <c r="G29" s="10" t="n">
        <v>168.252976</v>
      </c>
      <c r="H29" s="10" t="n">
        <v>154.499808</v>
      </c>
      <c r="I29" s="10" t="n">
        <v>187.735816</v>
      </c>
      <c r="J29" s="10" t="n">
        <v>228.677402</v>
      </c>
      <c r="K29" s="10" t="n">
        <v>205.611189</v>
      </c>
      <c r="L29" s="10" t="n">
        <v>62.079267</v>
      </c>
      <c r="M29" s="10" t="n">
        <v>17.951634</v>
      </c>
      <c r="N29" s="10" t="n">
        <v>91.08686499999999</v>
      </c>
      <c r="O29" s="10" t="n">
        <v>230.68688</v>
      </c>
      <c r="P29" s="10" t="n">
        <v>295.913171</v>
      </c>
    </row>
    <row r="30">
      <c r="A30" s="8" t="inlineStr">
        <is>
          <t>Amerika Serikat</t>
        </is>
      </c>
      <c r="B30" s="10" t="n">
        <v>-209.132395</v>
      </c>
      <c r="C30" s="10" t="n">
        <v>-237.4156179999999</v>
      </c>
      <c r="D30" s="10" t="n">
        <v>-286.8231309999999</v>
      </c>
      <c r="E30" s="10" t="n">
        <v>-364.209605</v>
      </c>
      <c r="F30" s="10" t="n">
        <v>-257.2707720000001</v>
      </c>
      <c r="G30" s="10" t="n">
        <v>-141.0699520000001</v>
      </c>
      <c r="H30" s="10" t="n">
        <v>-93.49723199999994</v>
      </c>
      <c r="I30" s="10" t="n">
        <v>-67.389723</v>
      </c>
      <c r="J30" s="10" t="n">
        <v>-15.23378099999991</v>
      </c>
      <c r="K30" s="10" t="n">
        <v>44.62123800000018</v>
      </c>
      <c r="L30" s="10" t="n">
        <v>-122.171079</v>
      </c>
      <c r="M30" s="10" t="n">
        <v>-266.772465</v>
      </c>
      <c r="N30" s="10" t="n">
        <v>-273.824074</v>
      </c>
      <c r="O30" s="10" t="n">
        <v>29.94051799999988</v>
      </c>
      <c r="P30" s="10" t="n">
        <v>257.5417519999999</v>
      </c>
    </row>
  </sheetData>
  <mergeCells count="2">
    <mergeCell ref="B6:P6"/>
    <mergeCell ref="B20:P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4" customWidth="1" min="5" max="5"/>
    <col width="14" customWidth="1" min="6" max="6"/>
    <col width="15" customWidth="1" min="7" max="7"/>
    <col width="9" customWidth="1" min="8" max="8"/>
    <col width="15" customWidth="1" min="9" max="9"/>
    <col width="9" customWidth="1" min="10" max="10"/>
  </cols>
  <sheetData>
    <row r="1">
      <c r="A1" s="1" t="inlineStr">
        <is>
          <t>Dibandingkan dengan total resmi Bank Indonesia (USD juta)</t>
        </is>
      </c>
    </row>
    <row r="2">
      <c r="A2" s="2" t="inlineStr">
        <is>
          <t>BI SEKI Tabel V.3 = angka resmi jasa perjalanan Indonesia dengan seluruh dunia (tanpa rincian negara).</t>
        </is>
      </c>
    </row>
    <row r="3">
      <c r="A3" s="3" t="inlineStr">
        <is>
          <t>Label abu-abu di bawah judul kolom → GIVEN: diambil apa adanya dari sumber · DIHITUNG SENDIRI: kami hitung, caranya tertulis · ASUMSI SENDIRI: pilihan kami karena sumber tidak menyediakan angkanya.</t>
        </is>
      </c>
    </row>
    <row r="4" ht="20" customHeight="1">
      <c r="A4" s="6" t="inlineStr">
        <is>
          <t>Sisi</t>
        </is>
      </c>
      <c r="B4" s="6" t="inlineStr">
        <is>
          <t>BPS 2024</t>
        </is>
      </c>
      <c r="C4" s="6" t="inlineStr">
        <is>
          <t>BI 2024</t>
        </is>
      </c>
      <c r="D4" s="6" t="inlineStr">
        <is>
          <t>BPS / BI</t>
        </is>
      </c>
    </row>
    <row r="5" ht="40" customHeight="1">
      <c r="A5" s="7" t="n"/>
      <c r="B5" s="7" t="inlineStr">
        <is>
          <t>DIHITUNG SENDIRI: total di sheet BPS – Perhitungan</t>
        </is>
      </c>
      <c r="C5" s="7" t="inlineStr">
        <is>
          <t>GIVEN (BI SEKI Tabel V.3)</t>
        </is>
      </c>
      <c r="D5" s="7" t="inlineStr">
        <is>
          <t>DIHITUNG SENDIRI: BPS ÷ BI</t>
        </is>
      </c>
    </row>
    <row r="6">
      <c r="A6" s="8" t="inlineStr">
        <is>
          <t>Kredit</t>
        </is>
      </c>
      <c r="B6" s="9" t="n">
        <v>19328.1727743</v>
      </c>
      <c r="C6" s="9" t="n">
        <v>16703.3</v>
      </c>
      <c r="D6" s="17" t="n">
        <v>1.157146957445535</v>
      </c>
    </row>
    <row r="7">
      <c r="A7" s="8" t="inlineStr">
        <is>
          <t>Debit</t>
        </is>
      </c>
      <c r="B7" s="9" t="n">
        <v>16431.3713977014</v>
      </c>
      <c r="C7" s="9" t="n">
        <v>13458.67</v>
      </c>
      <c r="D7" s="17" t="n">
        <v>1.22087631227316</v>
      </c>
    </row>
    <row r="8">
      <c r="A8" s="8" t="inlineStr">
        <is>
          <t>Neraca</t>
        </is>
      </c>
      <c r="B8" s="9" t="n">
        <v>2896.801376598596</v>
      </c>
      <c r="C8" s="9" t="n">
        <v>3244.63</v>
      </c>
      <c r="D8" s="17" t="n"/>
    </row>
    <row r="9">
      <c r="A9" s="2" t="inlineStr">
        <is>
          <t>BPS lebih tinggi dari BI; BI tidak menerbitkan rincian penyesuaiannya. Porsi dan urutan negara dari BPS tetap bisa dipakai.</t>
        </is>
      </c>
    </row>
    <row r="11" ht="42" customHeight="1">
      <c r="A11" s="6" t="inlineStr">
        <is>
          <t>Tahun</t>
        </is>
      </c>
      <c r="B11" s="6" t="inlineStr">
        <is>
          <t>BI kredit</t>
        </is>
      </c>
      <c r="C11" s="6" t="inlineStr">
        <is>
          <t>BI debit</t>
        </is>
      </c>
      <c r="D11" s="6" t="inlineStr">
        <is>
          <t>BI neraca</t>
        </is>
      </c>
      <c r="E11" s="6" t="inlineStr">
        <is>
          <t>BaTIS kredit (jumlah semua mitra)</t>
        </is>
      </c>
      <c r="F11" s="6" t="inlineStr">
        <is>
          <t>BaTIS debit (jumlah semua mitra)</t>
        </is>
      </c>
      <c r="G11" s="6" t="inlineStr">
        <is>
          <t>Mirror kredit (jumlah negara pelapor)</t>
        </is>
      </c>
      <c r="H11" s="6" t="inlineStr">
        <is>
          <t>Porsi dari BI</t>
        </is>
      </c>
      <c r="I11" s="6" t="inlineStr">
        <is>
          <t>Mirror debit (jumlah negara pelapor)</t>
        </is>
      </c>
      <c r="J11" s="6" t="inlineStr">
        <is>
          <t>Porsi dari BI</t>
        </is>
      </c>
    </row>
    <row r="12" ht="64" customHeight="1">
      <c r="A12" s="7" t="n"/>
      <c r="B12" s="7" t="inlineStr">
        <is>
          <t>GIVEN (BI)</t>
        </is>
      </c>
      <c r="C12" s="7" t="inlineStr">
        <is>
          <t>GIVEN (BI)</t>
        </is>
      </c>
      <c r="D12" s="7" t="inlineStr">
        <is>
          <t>GIVEN (BI)</t>
        </is>
      </c>
      <c r="E12" s="7" t="inlineStr">
        <is>
          <t>DIHITUNG SENDIRI: jumlah semua mitra (GIVEN BaTIS B)</t>
        </is>
      </c>
      <c r="F12" s="7" t="inlineStr">
        <is>
          <t>DIHITUNG SENDIRI: jumlah semua mitra</t>
        </is>
      </c>
      <c r="G12" s="7" t="inlineStr">
        <is>
          <t>DIHITUNG SENDIRI: jumlah pelapor OECD TIS + Eurostat-saja (EUR→USD)</t>
        </is>
      </c>
      <c r="H12" s="7" t="inlineStr">
        <is>
          <t>DIHITUNG SENDIRI: ÷ BI</t>
        </is>
      </c>
      <c r="I12" s="7" t="inlineStr">
        <is>
          <t>DIHITUNG SENDIRI: jumlah pelapor</t>
        </is>
      </c>
      <c r="J12" s="7" t="inlineStr">
        <is>
          <t>DIHITUNG SENDIRI: ÷ BI</t>
        </is>
      </c>
    </row>
    <row r="13">
      <c r="A13" s="8" t="n">
        <v>2018</v>
      </c>
      <c r="B13" s="9" t="n">
        <v>16425.79</v>
      </c>
      <c r="C13" s="9" t="n">
        <v>10313.53</v>
      </c>
      <c r="D13" s="9" t="n">
        <v>6112.26</v>
      </c>
      <c r="E13" s="9" t="n">
        <v>14816.02745</v>
      </c>
      <c r="F13" s="9" t="n">
        <v>10411.309372</v>
      </c>
      <c r="G13" s="9" t="n">
        <v>6013.863160784302</v>
      </c>
      <c r="H13" s="17" t="n">
        <v>0.3661232221271732</v>
      </c>
      <c r="I13" s="9" t="n">
        <v>3617.993416784313</v>
      </c>
      <c r="J13" s="17" t="n">
        <v>0.3508006877164572</v>
      </c>
    </row>
    <row r="14">
      <c r="A14" s="8" t="n">
        <v>2019</v>
      </c>
      <c r="B14" s="9" t="n">
        <v>16910.74</v>
      </c>
      <c r="C14" s="9" t="n">
        <v>11307.68</v>
      </c>
      <c r="D14" s="9" t="n">
        <v>5603.06</v>
      </c>
      <c r="E14" s="9" t="n">
        <v>15313.010891</v>
      </c>
      <c r="F14" s="9" t="n">
        <v>11140.029983</v>
      </c>
      <c r="G14" s="9" t="n">
        <v>6192.148227450972</v>
      </c>
      <c r="H14" s="17" t="n">
        <v>0.3661666034396467</v>
      </c>
      <c r="I14" s="9" t="n">
        <v>3721.837403921568</v>
      </c>
      <c r="J14" s="17" t="n">
        <v>0.3291424415902792</v>
      </c>
    </row>
    <row r="15">
      <c r="A15" s="8" t="n">
        <v>2020</v>
      </c>
      <c r="B15" s="9" t="n">
        <v>3381.87</v>
      </c>
      <c r="C15" s="9" t="n">
        <v>1747.61</v>
      </c>
      <c r="D15" s="9" t="n">
        <v>1634.26</v>
      </c>
      <c r="E15" s="9" t="n">
        <v>4429.046115</v>
      </c>
      <c r="F15" s="9" t="n">
        <v>2993.943897</v>
      </c>
      <c r="G15" s="9" t="n">
        <v>1213.400550972761</v>
      </c>
      <c r="H15" s="17" t="n">
        <v>0.3587957405142012</v>
      </c>
      <c r="I15" s="9" t="n">
        <v>1624.015945680934</v>
      </c>
      <c r="J15" s="17" t="n">
        <v>0.929278240385975</v>
      </c>
    </row>
    <row r="16">
      <c r="A16" s="8" t="n">
        <v>2021</v>
      </c>
      <c r="B16" s="9" t="n">
        <v>520.74</v>
      </c>
      <c r="C16" s="9" t="n">
        <v>471.75</v>
      </c>
      <c r="D16" s="9" t="n">
        <v>48.99</v>
      </c>
      <c r="E16" s="9" t="n">
        <v>2270.195186</v>
      </c>
      <c r="F16" s="9" t="n">
        <v>2299.038863</v>
      </c>
      <c r="G16" s="9" t="n">
        <v>411.1090337209278</v>
      </c>
      <c r="H16" s="17" t="n">
        <v>0.7894708179147517</v>
      </c>
      <c r="I16" s="9" t="n">
        <v>1365.358364341085</v>
      </c>
      <c r="J16" s="17" t="n">
        <v>2.894241365852857</v>
      </c>
    </row>
    <row r="17">
      <c r="A17" s="8" t="n">
        <v>2022</v>
      </c>
      <c r="B17" s="9" t="n">
        <v>6781.18</v>
      </c>
      <c r="C17" s="9" t="n">
        <v>6418.21</v>
      </c>
      <c r="D17" s="9" t="n">
        <v>362.97</v>
      </c>
      <c r="E17" s="9" t="n">
        <v>8199.113789999999</v>
      </c>
      <c r="F17" s="9" t="n">
        <v>6635.76781</v>
      </c>
      <c r="G17" s="9" t="n">
        <v>3742.376114591441</v>
      </c>
      <c r="H17" s="17" t="n">
        <v>0.5518768288987228</v>
      </c>
      <c r="I17" s="9" t="n">
        <v>2274.527008365759</v>
      </c>
      <c r="J17" s="17" t="n">
        <v>0.35438650470548</v>
      </c>
    </row>
    <row r="18">
      <c r="A18" s="8" t="n">
        <v>2023</v>
      </c>
      <c r="B18" s="9" t="n">
        <v>14000.91</v>
      </c>
      <c r="C18" s="9" t="n">
        <v>11683</v>
      </c>
      <c r="D18" s="9" t="n">
        <v>2317.91</v>
      </c>
      <c r="E18" s="9" t="n">
        <v>15963.194103</v>
      </c>
      <c r="F18" s="9" t="n">
        <v>11050.110626</v>
      </c>
      <c r="G18" s="9" t="n">
        <v>9060.20715745099</v>
      </c>
      <c r="H18" s="17" t="n">
        <v>0.6471155915901888</v>
      </c>
      <c r="I18" s="9" t="n">
        <v>3555.321805098039</v>
      </c>
      <c r="J18" s="17" t="n">
        <v>0.3043158268508123</v>
      </c>
    </row>
    <row r="19">
      <c r="A19" s="8" t="n">
        <v>2024</v>
      </c>
      <c r="B19" s="9" t="n">
        <v>16703.3</v>
      </c>
      <c r="C19" s="9" t="n">
        <v>13458.67</v>
      </c>
      <c r="D19" s="9" t="n">
        <v>3244.63</v>
      </c>
      <c r="E19" s="9" t="n">
        <v>18434.847344</v>
      </c>
      <c r="F19" s="9" t="n">
        <v>12923.020689</v>
      </c>
      <c r="G19" s="9" t="n">
        <v>10197.55221398438</v>
      </c>
      <c r="H19" s="17" t="n">
        <v>0.6105112291573747</v>
      </c>
      <c r="I19" s="9" t="n">
        <v>3976.75836828125</v>
      </c>
      <c r="J19" s="17" t="n">
        <v>0.2954792983468091</v>
      </c>
    </row>
    <row r="20">
      <c r="A20" s="2" t="inlineStr">
        <is>
          <t>Mirror hanya mencakup negara pelapor, jadi porsinya di bawah 100%.</t>
        </is>
      </c>
    </row>
    <row r="21">
      <c r="A21" s="5" t="inlineStr">
        <is>
          <t>Sumber: BI SEKI Tabel V.3</t>
        </is>
      </c>
    </row>
  </sheetData>
  <hyperlinks>
    <hyperlink xmlns:r="http://schemas.openxmlformats.org/officeDocument/2006/relationships" ref="A2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26" customWidth="1" min="3" max="3"/>
    <col width="44" customWidth="1" min="4" max="4"/>
    <col width="8" customWidth="1" min="5" max="5"/>
  </cols>
  <sheetData>
    <row r="1">
      <c r="A1" s="1" t="inlineStr">
        <is>
          <t>Daftar sumber yang dicek</t>
        </is>
      </c>
    </row>
    <row r="2">
      <c r="A2" s="2" t="inlineStr">
        <is>
          <t>Klik 'Buka' untuk melihat sumbernya. Bukti lengkap ada di folder 01_discovery.</t>
        </is>
      </c>
    </row>
    <row r="4" ht="20" customHeight="1">
      <c r="A4" s="6" t="inlineStr">
        <is>
          <t>Sumber</t>
        </is>
      </c>
      <c r="B4" s="6" t="inlineStr">
        <is>
          <t>Penerbit</t>
        </is>
      </c>
      <c r="C4" s="6" t="inlineStr">
        <is>
          <t>Isi data</t>
        </is>
      </c>
      <c r="D4" s="6" t="inlineStr">
        <is>
          <t>Status</t>
        </is>
      </c>
      <c r="E4" s="6" t="inlineStr">
        <is>
          <t>Link</t>
        </is>
      </c>
    </row>
    <row r="5">
      <c r="A5" s="8" t="inlineStr">
        <is>
          <t>OECD Trade in Services by partner (TIS)</t>
        </is>
      </c>
      <c r="B5" s="8" t="inlineStr">
        <is>
          <t>OECD (partner-reported)</t>
        </is>
      </c>
      <c r="C5" s="8" t="inlineStr">
        <is>
          <t>Kredit + debit</t>
        </is>
      </c>
      <c r="D5" s="8" t="inlineStr">
        <is>
          <t>extracted (03_extract/mirror_oecd_tis.csv)</t>
        </is>
      </c>
      <c r="E5" s="25" t="inlineStr">
        <is>
          <t>Buka</t>
        </is>
      </c>
    </row>
    <row r="6">
      <c r="A6" s="8" t="inlineStr">
        <is>
          <t>Eurostat bop_its6_det</t>
        </is>
      </c>
      <c r="B6" s="8" t="inlineStr">
        <is>
          <t>Eurostat (partner-reported)</t>
        </is>
      </c>
      <c r="C6" s="8" t="inlineStr">
        <is>
          <t>Kredit + debit</t>
        </is>
      </c>
      <c r="D6" s="8" t="inlineStr">
        <is>
          <t>extracted (03_extract/mirror_eurostat.csv)</t>
        </is>
      </c>
      <c r="E6" s="25" t="inlineStr">
        <is>
          <t>Buka</t>
        </is>
      </c>
    </row>
    <row r="7">
      <c r="A7" s="8" t="inlineStr">
        <is>
          <t>ABS International Trade Supplementary Information Tables 7/8 (+5/6)</t>
        </is>
      </c>
      <c r="B7" s="8" t="inlineStr">
        <is>
          <t>Australian Bureau of Statistics</t>
        </is>
      </c>
      <c r="C7" s="8" t="inlineStr">
        <is>
          <t>Kredit + debit</t>
        </is>
      </c>
      <c r="D7" s="8" t="inlineStr">
        <is>
          <t>extracted (03_extract/mirror_abs.csv)</t>
        </is>
      </c>
      <c r="E7" s="25" t="inlineStr">
        <is>
          <t>Buka</t>
        </is>
      </c>
    </row>
    <row r="8">
      <c r="A8" s="8" t="inlineStr">
        <is>
          <t>OECD-WTO BaTIS</t>
        </is>
      </c>
      <c r="B8" s="8" t="inlineStr">
        <is>
          <t>OECD + WTO (modelled)</t>
        </is>
      </c>
      <c r="C8" s="8" t="inlineStr">
        <is>
          <t>Kredit + debit (hasil model)</t>
        </is>
      </c>
      <c r="D8" s="8" t="inlineStr">
        <is>
          <t>extracted (03_extract/batis.csv)</t>
        </is>
      </c>
      <c r="E8" s="25" t="inlineStr">
        <is>
          <t>Buka</t>
        </is>
      </c>
    </row>
    <row r="9">
      <c r="A9" s="8" t="inlineStr">
        <is>
          <t>BI SEKI Table V.3 Jasa-jasa</t>
        </is>
      </c>
      <c r="B9" s="8" t="inlineStr">
        <is>
          <t>Bank Indonesia</t>
        </is>
      </c>
      <c r="C9" s="8" t="inlineStr">
        <is>
          <t>Total tanpa rincian negara</t>
        </is>
      </c>
      <c r="D9" s="8" t="inlineStr">
        <is>
          <t>extracted (03_extract/bi_travel_totals.csv)</t>
        </is>
      </c>
      <c r="E9" s="25" t="inlineStr">
        <is>
          <t>Buka</t>
        </is>
      </c>
    </row>
    <row r="10">
      <c r="A10" s="8" t="inlineStr">
        <is>
          <t>BPS var 272 spending per visit by nationality</t>
        </is>
      </c>
      <c r="B10" s="8" t="inlineStr">
        <is>
          <t>BPS</t>
        </is>
      </c>
      <c r="C10" s="8" t="inlineStr">
        <is>
          <t>Satu sisi saja</t>
        </is>
      </c>
      <c r="D10" s="8" t="inlineStr">
        <is>
          <t>extracted (03_extract/bps_spend_per_visit_by_nationality.csv)</t>
        </is>
      </c>
      <c r="E10" s="25" t="inlineStr">
        <is>
          <t>Buka</t>
        </is>
      </c>
    </row>
    <row r="11">
      <c r="A11" s="8" t="inlineStr">
        <is>
          <t>BPS var 1470 arrivals by passport</t>
        </is>
      </c>
      <c r="B11" s="8" t="inlineStr">
        <is>
          <t>BPS</t>
        </is>
      </c>
      <c r="C11" s="8" t="inlineStr">
        <is>
          <t>Jumlah orang (bukan nilai)</t>
        </is>
      </c>
      <c r="D11" s="8" t="inlineStr">
        <is>
          <t>extracted (03_extract/bps_arrivals_by_nationality_annual.csv)</t>
        </is>
      </c>
      <c r="E11" s="25" t="inlineStr">
        <is>
          <t>Buka</t>
        </is>
      </c>
    </row>
    <row r="12">
      <c r="A12" s="8" t="inlineStr">
        <is>
          <t>BPS Statistik Wisatawan Nasional (outbound) Lampiran 4 + 20</t>
        </is>
      </c>
      <c r="B12" s="8" t="inlineStr">
        <is>
          <t>BPS</t>
        </is>
      </c>
      <c r="C12" s="8" t="inlineStr">
        <is>
          <t>Satu sisi saja</t>
        </is>
      </c>
      <c r="D12" s="8" t="inlineStr">
        <is>
          <t>extracted (03_extract/bps_outbound_by_destination.csv)</t>
        </is>
      </c>
      <c r="E12" s="25" t="inlineStr">
        <is>
          <t>Buka</t>
        </is>
      </c>
    </row>
    <row r="13">
      <c r="A13" s="8" t="inlineStr">
        <is>
          <t>Tourism Malaysia - Tourist Profile 2024 p.15</t>
        </is>
      </c>
      <c r="B13" s="8" t="inlineStr">
        <is>
          <t>Tourism Malaysia</t>
        </is>
      </c>
      <c r="C13" s="8" t="inlineStr">
        <is>
          <t>Satu sisi saja</t>
        </is>
      </c>
      <c r="D13" s="8" t="inlineStr">
        <is>
          <t>extracted (03_extract/destination_side.csv)</t>
        </is>
      </c>
      <c r="E13" s="25" t="inlineStr">
        <is>
          <t>Buka</t>
        </is>
      </c>
    </row>
    <row r="14">
      <c r="A14" s="8" t="inlineStr">
        <is>
          <t>STB tourism receipts by market</t>
        </is>
      </c>
      <c r="B14" s="8" t="inlineStr">
        <is>
          <t>Singapore Tourism Board</t>
        </is>
      </c>
      <c r="C14" s="8" t="inlineStr">
        <is>
          <t>Satu sisi saja</t>
        </is>
      </c>
      <c r="D14" s="8" t="inlineStr">
        <is>
          <t>extracted (03_extract/destination_side.csv)</t>
        </is>
      </c>
      <c r="E14" s="25" t="inlineStr">
        <is>
          <t>Buka</t>
        </is>
      </c>
    </row>
    <row r="15">
      <c r="A15" s="8" t="inlineStr">
        <is>
          <t>JTA inbound consumption survey (Japan)</t>
        </is>
      </c>
      <c r="B15" s="8" t="inlineStr">
        <is>
          <t>Japan Tourism Agency</t>
        </is>
      </c>
      <c r="C15" s="8" t="inlineStr">
        <is>
          <t>Satu sisi saja</t>
        </is>
      </c>
      <c r="D15" s="8" t="inlineStr">
        <is>
          <t>extracted (03_extract/destination_side.csv)</t>
        </is>
      </c>
      <c r="E15" s="25" t="inlineStr">
        <is>
          <t>Buka</t>
        </is>
      </c>
    </row>
    <row r="16">
      <c r="A16" s="8" t="inlineStr">
        <is>
          <t>Thailand MOTS receipts by nationality</t>
        </is>
      </c>
      <c r="B16" s="8" t="inlineStr">
        <is>
          <t>Ministry of Tourism and Sports</t>
        </is>
      </c>
      <c r="C16" s="8" t="inlineStr">
        <is>
          <t>Satu sisi saja</t>
        </is>
      </c>
      <c r="D16" s="8" t="inlineStr">
        <is>
          <t>extracted (03_extract/destination_side.csv)</t>
        </is>
      </c>
      <c r="E16" s="25" t="inlineStr">
        <is>
          <t>Buka</t>
        </is>
      </c>
    </row>
    <row r="17">
      <c r="A17" s="8" t="inlineStr">
        <is>
          <t>Hajj and umrah (BPIH, quota, Siskopatuh)</t>
        </is>
      </c>
      <c r="B17" s="8" t="inlineStr">
        <is>
          <t>Kemenag / Kementerian Haji dan Umrah</t>
        </is>
      </c>
      <c r="C17" s="8" t="inlineStr">
        <is>
          <t>Satu sisi saja</t>
        </is>
      </c>
      <c r="D17" s="8" t="inlineStr">
        <is>
          <t>extracted (03_extract/hajj_umrah.csv)</t>
        </is>
      </c>
      <c r="E17" s="25" t="inlineStr">
        <is>
          <t>Buka</t>
        </is>
      </c>
    </row>
    <row r="18">
      <c r="A18" s="8" t="inlineStr">
        <is>
          <t>Kemenpar statistik-jasa-perjalanan / devisa-pariwisata</t>
        </is>
      </c>
      <c r="B18" s="8" t="inlineStr">
        <is>
          <t>Kementerian Pariwisata</t>
        </is>
      </c>
      <c r="C18" s="8" t="inlineStr">
        <is>
          <t>Tidak ada rincian negara</t>
        </is>
      </c>
      <c r="D18" s="8" t="inlineStr">
        <is>
          <t>checked via api.kemenpar.go.id/api/v1/statistics/posts</t>
        </is>
      </c>
      <c r="E18" s="25" t="inlineStr">
        <is>
          <t>Buka</t>
        </is>
      </c>
    </row>
    <row r="19">
      <c r="A19" s="8" t="inlineStr">
        <is>
          <t>ASEANstats SITS</t>
        </is>
      </c>
      <c r="B19" s="8" t="inlineStr">
        <is>
          <t>ASEAN Secretariat</t>
        </is>
      </c>
      <c r="C19" s="8" t="inlineStr">
        <is>
          <t>Perlu login</t>
        </is>
      </c>
      <c r="D19" s="8" t="inlineStr">
        <is>
          <t>needs user login</t>
        </is>
      </c>
      <c r="E19" s="25" t="inlineStr">
        <is>
          <t>Buka</t>
        </is>
      </c>
    </row>
    <row r="20">
      <c r="A20" s="8" t="inlineStr">
        <is>
          <t>IMF BOP</t>
        </is>
      </c>
      <c r="B20" s="8" t="inlineStr">
        <is>
          <t>IMF</t>
        </is>
      </c>
      <c r="C20" s="8" t="inlineStr">
        <is>
          <t>Total tanpa rincian negara</t>
        </is>
      </c>
      <c r="D20" s="8" t="inlineStr">
        <is>
          <t>not available (structural)</t>
        </is>
      </c>
      <c r="E20" s="25" t="inlineStr">
        <is>
          <t>Buka</t>
        </is>
      </c>
    </row>
    <row r="21">
      <c r="A21" s="8" t="inlineStr">
        <is>
          <t>World Bank WDI</t>
        </is>
      </c>
      <c r="B21" s="8" t="inlineStr">
        <is>
          <t>World Bank</t>
        </is>
      </c>
      <c r="C21" s="8" t="inlineStr">
        <is>
          <t>Total tanpa rincian negara</t>
        </is>
      </c>
      <c r="D21" s="8" t="inlineStr">
        <is>
          <t>not available (structural)</t>
        </is>
      </c>
      <c r="E21" s="25" t="inlineStr">
        <is>
          <t>Buka</t>
        </is>
      </c>
    </row>
    <row r="22">
      <c r="A22" s="8" t="inlineStr">
        <is>
          <t>UN Comtrade services (EBOPS 2010)</t>
        </is>
      </c>
      <c r="B22" s="8" t="inlineStr">
        <is>
          <t>UNSD</t>
        </is>
      </c>
      <c r="C22" s="8" t="inlineStr">
        <is>
          <t>Total tanpa rincian negara</t>
        </is>
      </c>
      <c r="D22" s="8" t="inlineStr">
        <is>
          <t>not available (API verified)</t>
        </is>
      </c>
      <c r="E22" s="25" t="inlineStr">
        <is>
          <t>Buka</t>
        </is>
      </c>
    </row>
    <row r="23">
      <c r="A23" s="8" t="inlineStr">
        <is>
          <t>WTO TiSMoS (mode 2)</t>
        </is>
      </c>
      <c r="B23" s="8" t="inlineStr">
        <is>
          <t>WTO</t>
        </is>
      </c>
      <c r="C23" s="8" t="inlineStr">
        <is>
          <t>Total tanpa rincian negara</t>
        </is>
      </c>
      <c r="D23" s="8" t="inlineStr">
        <is>
          <t>not available (structural)</t>
        </is>
      </c>
      <c r="E23" s="25" t="inlineStr">
        <is>
          <t>Buka</t>
        </is>
      </c>
    </row>
    <row r="24">
      <c r="A24" s="8" t="inlineStr">
        <is>
          <t>UNCTADstat services by partner (2005-2019)</t>
        </is>
      </c>
      <c r="B24" s="8" t="inlineStr">
        <is>
          <t>UNCTAD/WTO/ITC</t>
        </is>
      </c>
      <c r="C24" s="8" t="inlineStr">
        <is>
          <t>Turunan (duplikat)</t>
        </is>
      </c>
      <c r="D24" s="8" t="inlineStr">
        <is>
          <t>not used (superseded by BaTIS)</t>
        </is>
      </c>
      <c r="E24" s="25" t="inlineStr">
        <is>
          <t>Buka</t>
        </is>
      </c>
    </row>
    <row r="25">
      <c r="A25" s="8" t="inlineStr">
        <is>
          <t>BI SEKI V.28 / V.29 visitors by port</t>
        </is>
      </c>
      <c r="B25" s="8" t="inlineStr">
        <is>
          <t>Bank Indonesia</t>
        </is>
      </c>
      <c r="C25" s="8" t="inlineStr">
        <is>
          <t>Jumlah orang (bukan nilai)</t>
        </is>
      </c>
      <c r="D25" s="8" t="inlineStr">
        <is>
          <t>not a balance</t>
        </is>
      </c>
      <c r="E25" s="25" t="inlineStr">
        <is>
          <t>Buka</t>
        </is>
      </c>
    </row>
    <row r="26">
      <c r="A26" s="8" t="inlineStr">
        <is>
          <t>BI quarterly NPI report</t>
        </is>
      </c>
      <c r="B26" s="8" t="inlineStr">
        <is>
          <t>Bank Indonesia</t>
        </is>
      </c>
      <c r="C26" s="8" t="inlineStr">
        <is>
          <t>Narasi saja</t>
        </is>
      </c>
      <c r="D26" s="8" t="inlineStr">
        <is>
          <t>no by-country table</t>
        </is>
      </c>
      <c r="E26" s="25" t="inlineStr">
        <is>
          <t>Buka</t>
        </is>
      </c>
    </row>
    <row r="27">
      <c r="A27" s="8" t="inlineStr">
        <is>
          <t>SUSENAS (KOR + modules)</t>
        </is>
      </c>
      <c r="B27" s="8" t="inlineStr">
        <is>
          <t>BPS</t>
        </is>
      </c>
      <c r="C27" s="8" t="inlineStr">
        <is>
          <t>Tidak ada rincian negara</t>
        </is>
      </c>
      <c r="D27" s="8" t="inlineStr">
        <is>
          <t>not available</t>
        </is>
      </c>
      <c r="E27" s="25" t="inlineStr">
        <is>
          <t>Buka</t>
        </is>
      </c>
    </row>
    <row r="28">
      <c r="A28" s="8" t="inlineStr">
        <is>
          <t>SAKERNAS</t>
        </is>
      </c>
      <c r="B28" s="8" t="inlineStr">
        <is>
          <t>BPS</t>
        </is>
      </c>
      <c r="C28" s="8" t="inlineStr">
        <is>
          <t>Tidak ada rincian negara</t>
        </is>
      </c>
      <c r="D28" s="8" t="inlineStr">
        <is>
          <t>not available</t>
        </is>
      </c>
      <c r="E28" s="25" t="inlineStr">
        <is>
          <t>Buka</t>
        </is>
      </c>
    </row>
    <row r="29">
      <c r="A29" s="8" t="inlineStr">
        <is>
          <t>PODES</t>
        </is>
      </c>
      <c r="B29" s="8" t="inlineStr">
        <is>
          <t>BPS</t>
        </is>
      </c>
      <c r="C29" s="8" t="inlineStr">
        <is>
          <t>Tidak ada rincian negara</t>
        </is>
      </c>
      <c r="D29" s="8" t="inlineStr">
        <is>
          <t>not available</t>
        </is>
      </c>
      <c r="E29" s="25" t="inlineStr">
        <is>
          <t>Buka</t>
        </is>
      </c>
    </row>
    <row r="30">
      <c r="A30" s="8" t="inlineStr">
        <is>
          <t>BPS Tourism Satellite Account 2023-2025</t>
        </is>
      </c>
      <c r="B30" s="8" t="inlineStr">
        <is>
          <t>BPS</t>
        </is>
      </c>
      <c r="C30" s="8" t="inlineStr">
        <is>
          <t>Tidak ada rincian negara</t>
        </is>
      </c>
      <c r="D30" s="8" t="inlineStr">
        <is>
          <t>checked</t>
        </is>
      </c>
      <c r="E30" s="25" t="inlineStr">
        <is>
          <t>Buka</t>
        </is>
      </c>
    </row>
    <row r="31">
      <c r="A31" s="8" t="inlineStr">
        <is>
          <t>Korea BOK ECOS regional BoP</t>
        </is>
      </c>
      <c r="B31" s="8" t="inlineStr">
        <is>
          <t>Bank of Korea</t>
        </is>
      </c>
      <c r="C31" s="8" t="inlineStr">
        <is>
          <t>Belum dicek</t>
        </is>
      </c>
      <c r="D31" s="8" t="inlineStr">
        <is>
          <t>not verified</t>
        </is>
      </c>
      <c r="E31" s="25" t="inlineStr">
        <is>
          <t>Buka</t>
        </is>
      </c>
    </row>
    <row r="33">
      <c r="A33" s="5" t="inlineStr">
        <is>
          <t>Kurs: Bank Dunia (rata-rata tahunan)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A33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2026-10-16T09:08:07Z</dcterms:created>
  <dcterms:modified xmlns:dcterms="http://purl.org/dc/terms/" xmlns:xsi="http://www.w3.org/2001/XMLSchema-instance" xsi:type="dcterms:W3CDTF">2026-10-16T09:08:09Z</dcterms:modified>
</cp:coreProperties>
</file>