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an Ardias\iCloudDrive\Kementerian Pariwisata\Biro Data dan Sistem Informasi\2026\Wisatawan Nasional\2026\8. Agustus\"/>
    </mc:Choice>
  </mc:AlternateContent>
  <xr:revisionPtr revIDLastSave="0" documentId="13_ncr:1_{CF611F78-3944-4A41-9439-76D042CE197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Wisnas" sheetId="1" r:id="rId1"/>
  </sheets>
  <definedNames>
    <definedName name="_xlnm.Print_Titles" localSheetId="0">Wisnas!$1:$4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35" i="1" l="1"/>
  <c r="AU36" i="1"/>
  <c r="AU37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R7" i="1"/>
  <c r="AR8" i="1"/>
  <c r="AU8" i="1" s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L37" i="1"/>
  <c r="AL30" i="1"/>
  <c r="AL23" i="1"/>
  <c r="AL6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U39" i="1"/>
  <c r="AD5" i="1"/>
  <c r="AK6" i="1"/>
  <c r="AK5" i="1" s="1"/>
  <c r="AK40" i="1" s="1"/>
  <c r="AK37" i="1"/>
  <c r="AK30" i="1"/>
  <c r="AK23" i="1"/>
  <c r="AJ6" i="1"/>
  <c r="AJ40" i="1"/>
  <c r="AJ5" i="1"/>
  <c r="AJ37" i="1"/>
  <c r="AJ30" i="1"/>
  <c r="AJ23" i="1"/>
  <c r="AI5" i="1"/>
  <c r="AI40" i="1"/>
  <c r="AI6" i="1"/>
  <c r="AH40" i="1"/>
  <c r="AH37" i="1"/>
  <c r="AH5" i="1"/>
  <c r="AH6" i="1"/>
  <c r="AG40" i="1"/>
  <c r="AG37" i="1"/>
  <c r="AG30" i="1"/>
  <c r="AG23" i="1"/>
  <c r="AG6" i="1"/>
  <c r="AF40" i="1"/>
  <c r="AF5" i="1"/>
  <c r="AF6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20" i="1"/>
  <c r="P21" i="1"/>
  <c r="P22" i="1"/>
  <c r="P23" i="1"/>
  <c r="P24" i="1"/>
  <c r="P25" i="1"/>
  <c r="P26" i="1"/>
  <c r="P27" i="1"/>
  <c r="P28" i="1"/>
  <c r="P29" i="1"/>
  <c r="P31" i="1"/>
  <c r="P32" i="1"/>
  <c r="P33" i="1"/>
  <c r="P34" i="1"/>
  <c r="P35" i="1"/>
  <c r="P38" i="1"/>
  <c r="P39" i="1"/>
  <c r="P40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5" i="1"/>
  <c r="AS6" i="1" l="1"/>
  <c r="AR6" i="1"/>
  <c r="AU6" i="1" s="1"/>
  <c r="AT6" i="1"/>
  <c r="AU34" i="1"/>
  <c r="AU22" i="1"/>
  <c r="AU33" i="1"/>
  <c r="AU21" i="1"/>
  <c r="AU20" i="1"/>
  <c r="AU31" i="1"/>
  <c r="AL5" i="1"/>
  <c r="AU16" i="1"/>
  <c r="AU27" i="1"/>
  <c r="AU15" i="1"/>
  <c r="AU7" i="1"/>
  <c r="AU10" i="1"/>
  <c r="AU29" i="1"/>
  <c r="AU26" i="1"/>
  <c r="AU14" i="1"/>
  <c r="AU13" i="1"/>
  <c r="AU38" i="1"/>
  <c r="AU32" i="1"/>
  <c r="AU25" i="1"/>
  <c r="AU24" i="1"/>
  <c r="AU23" i="1"/>
  <c r="AU9" i="1"/>
  <c r="AU12" i="1"/>
  <c r="AU11" i="1"/>
  <c r="AG5" i="1"/>
  <c r="AU30" i="1"/>
  <c r="AU28" i="1"/>
  <c r="AU18" i="1"/>
  <c r="AU17" i="1"/>
  <c r="AU19" i="1"/>
  <c r="AR5" i="1" l="1"/>
  <c r="AU5" i="1" s="1"/>
  <c r="AS5" i="1"/>
  <c r="AL40" i="1"/>
  <c r="AT5" i="1"/>
  <c r="AT40" i="1" l="1"/>
  <c r="AS40" i="1"/>
  <c r="AR40" i="1"/>
  <c r="AU40" i="1" s="1"/>
</calcChain>
</file>

<file path=xl/sharedStrings.xml><?xml version="1.0" encoding="utf-8"?>
<sst xmlns="http://schemas.openxmlformats.org/spreadsheetml/2006/main" count="89" uniqueCount="60">
  <si>
    <t>Pintu Masuk Kedatangan Wisnas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</si>
  <si>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</si>
  <si>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</si>
  <si>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</si>
  <si>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</si>
  <si>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</si>
  <si>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</si>
  <si>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</si>
  <si>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</si>
  <si>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</si>
  <si>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</si>
  <si>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</si>
  <si>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</si>
  <si>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Tahunan</t>
  </si>
  <si>
    <t>I. PINTU UTAMA</t>
  </si>
  <si>
    <t>A. Pintu Udara</t>
  </si>
  <si>
    <t>Ngurah Rai</t>
  </si>
  <si>
    <t>Soekarno Hatta</t>
  </si>
  <si>
    <t>Juanda</t>
  </si>
  <si>
    <t>Kualanamu</t>
  </si>
  <si>
    <t>Husein Sastranegara</t>
  </si>
  <si>
    <t>Adi Sucipto/YIA</t>
  </si>
  <si>
    <t>Bandara Int'l Lombok</t>
  </si>
  <si>
    <t>Sam Ratulangi</t>
  </si>
  <si>
    <t>Minangkabau</t>
  </si>
  <si>
    <t>Sultan Syarif Kasim II</t>
  </si>
  <si>
    <t>Sultan Iskandar Muda</t>
  </si>
  <si>
    <t>Ahmad Yani</t>
  </si>
  <si>
    <t>Supadio</t>
  </si>
  <si>
    <t>Hasanuddin</t>
  </si>
  <si>
    <t>Sultan Badaruddin II</t>
  </si>
  <si>
    <t>Lainnya</t>
  </si>
  <si>
    <t>B. Pintu Laut</t>
  </si>
  <si>
    <t>Batam</t>
  </si>
  <si>
    <t>Tanjung Uban</t>
  </si>
  <si>
    <t>Tanjung Pinang</t>
  </si>
  <si>
    <t>Tanjung Balai Karimun</t>
  </si>
  <si>
    <t>Tanjung Benoa</t>
  </si>
  <si>
    <t>C. Pintu Darat</t>
  </si>
  <si>
    <t>Jayapura</t>
  </si>
  <si>
    <t>Atambua</t>
  </si>
  <si>
    <t>Entikong</t>
  </si>
  <si>
    <t>Aruk</t>
  </si>
  <si>
    <t>Nanga Badau</t>
  </si>
  <si>
    <t>II. PINTU NON-IMIGRASI</t>
  </si>
  <si>
    <t>Perbatasan Laut</t>
  </si>
  <si>
    <t>Perbatasan Darat</t>
  </si>
  <si>
    <t xml:space="preserve">Catatan : </t>
  </si>
  <si>
    <t>*) : Angka Sementara</t>
  </si>
  <si>
    <t xml:space="preserve">Sumber : </t>
  </si>
  <si>
    <t>Badan Pusat Statistik diolah kembali oleh Biro Data dan Sistem Informasi, Kementerian Pariwisata</t>
  </si>
  <si>
    <t>JUMLAH</t>
  </si>
  <si>
    <t>Total Perubahan (%)</t>
  </si>
  <si>
    <t>Jan-Des</t>
  </si>
  <si>
    <t>Jan-Agustus</t>
  </si>
  <si>
    <t>–</t>
  </si>
  <si>
    <t>Agustus 26 
thd 
Agustus 25</t>
  </si>
  <si>
    <t>Agustus 26 
thd 
Juli 26</t>
  </si>
  <si>
    <t>Jan-Agustus 26 
thd 
Jan-Agustus 25</t>
  </si>
  <si>
    <t>Jumlah Perjalanan Wisatawan Nasional Menurut Pintu Masuk Kedatangan pada Bulan Agustus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</si>
</sst>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#,##0.00_ ;\-#,##0.00\ 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7030A0"/>
      <name val="Cambria"/>
      <family val="1"/>
    </font>
    <font>
      <sz val="12"/>
      <color theme="1"/>
      <name val="Cambria"/>
      <family val="1"/>
    </font>
    <font>
      <b/>
      <sz val="12"/>
      <color theme="0"/>
      <name val="Cambria"/>
      <family val="1"/>
    </font>
    <font>
      <sz val="12"/>
      <color theme="7" tint="-0.499984740745262"/>
      <name val="Cambria"/>
      <family val="1"/>
    </font>
    <font>
      <sz val="12"/>
      <color theme="0"/>
      <name val="Cambria"/>
      <family val="1"/>
    </font>
    <font>
      <b/>
      <sz val="11"/>
      <color theme="1"/>
      <name val="Cambria"/>
      <family val="1"/>
    </font>
    <font>
      <sz val="11"/>
      <name val="Cambria"/>
      <family val="1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sz val="12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165" fontId="5" fillId="4" borderId="1" xfId="1" applyNumberFormat="1" applyFont="1" applyFill="1" applyBorder="1" applyAlignment="1">
      <alignment vertical="center"/>
    </xf>
    <xf numFmtId="2" fontId="5" fillId="4" borderId="1" xfId="1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165" fontId="6" fillId="5" borderId="1" xfId="1" applyNumberFormat="1" applyFont="1" applyFill="1" applyBorder="1" applyAlignment="1">
      <alignment vertical="center"/>
    </xf>
    <xf numFmtId="2" fontId="6" fillId="5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165" fontId="4" fillId="0" borderId="1" xfId="1" applyNumberFormat="1" applyFont="1" applyBorder="1" applyAlignment="1">
      <alignment vertical="center"/>
    </xf>
    <xf numFmtId="2" fontId="4" fillId="0" borderId="1" xfId="1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165" fontId="7" fillId="4" borderId="1" xfId="1" applyNumberFormat="1" applyFont="1" applyFill="1" applyBorder="1" applyAlignment="1">
      <alignment vertical="center"/>
    </xf>
    <xf numFmtId="2" fontId="7" fillId="4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165" fontId="7" fillId="3" borderId="1" xfId="1" applyNumberFormat="1" applyFont="1" applyFill="1" applyBorder="1" applyAlignment="1">
      <alignment vertical="center"/>
    </xf>
    <xf numFmtId="37" fontId="10" fillId="2" borderId="0" xfId="0" applyNumberFormat="1" applyFont="1" applyFill="1" applyAlignment="1">
      <alignment horizontal="left" vertical="center"/>
    </xf>
    <xf numFmtId="37" fontId="10" fillId="2" borderId="0" xfId="0" applyNumberFormat="1" applyFont="1" applyFill="1" applyAlignment="1">
      <alignment horizontal="left" vertical="center" wrapText="1"/>
    </xf>
    <xf numFmtId="37" fontId="4" fillId="2" borderId="0" xfId="0" applyNumberFormat="1" applyFont="1" applyFill="1" applyAlignment="1">
      <alignment horizontal="left" vertical="center"/>
    </xf>
    <xf numFmtId="37" fontId="4" fillId="2" borderId="0" xfId="0" applyNumberFormat="1" applyFont="1" applyFill="1" applyAlignment="1">
      <alignment horizontal="left" vertical="center" wrapText="1"/>
    </xf>
    <xf numFmtId="165" fontId="4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6" fontId="7" fillId="3" borderId="1" xfId="1" applyNumberFormat="1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37" fontId="8" fillId="2" borderId="0" xfId="0" applyNumberFormat="1" applyFont="1" applyFill="1" applyAlignment="1">
      <alignment horizontal="left" vertical="center" wrapText="1"/>
    </xf>
    <xf numFmtId="0" fontId="9" fillId="0" borderId="0" xfId="0" applyFont="1" applyAlignment="1">
      <alignment vertical="center"/>
    </xf>
    <xf numFmtId="37" fontId="11" fillId="2" borderId="0" xfId="0" applyNumberFormat="1" applyFont="1" applyFill="1" applyAlignment="1">
      <alignment horizontal="left" vertical="center" wrapText="1"/>
    </xf>
    <xf numFmtId="0" fontId="12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3">
    <cellStyle name="Comma" xfId="1" builtinId="3"/>
    <cellStyle name="Comma 2" xfId="2" xr:uid="{BB332B20-ADF0-4FC5-8989-1468F7A7303C}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U45"/>
  <sheetViews>
    <sheetView showGridLines="0" tabSelected="1" zoomScale="55" zoomScaleNormal="70" workbookViewId="0">
      <pane xSplit="2" ySplit="4" topLeftCell="W5" activePane="bottomRight" state="frozen"/>
      <selection pane="topRight" activeCell="B1" sqref="B1"/>
      <selection pane="bottomLeft" activeCell="A5" sqref="A5"/>
      <selection pane="bottomRight" activeCell="AL19" sqref="AL19"/>
    </sheetView>
  </sheetViews>
  <sheetFormatPr defaultColWidth="9" defaultRowHeight="25.2" customHeight="1" x14ac:dyDescent="0.3"/>
  <cols>
    <col min="1" max="1" width="2.796875" style="1" customWidth="1"/>
    <col min="2" max="2" width="27.5" style="1" bestFit="1" customWidth="1"/>
    <col min="3" max="5" width="11.19921875" style="1" hidden="1" customWidth="1"/>
    <col min="6" max="6" width="11" style="1" hidden="1" customWidth="1"/>
    <col min="7" max="7" width="11.19921875" style="1" hidden="1" customWidth="1"/>
    <col min="8" max="10" width="10" style="1" hidden="1" customWidth="1"/>
    <col min="11" max="11" width="11.19921875" style="1" hidden="1" customWidth="1"/>
    <col min="12" max="12" width="10.19921875" style="1" hidden="1" customWidth="1"/>
    <col min="13" max="13" width="10.5" style="1" hidden="1" customWidth="1"/>
    <col min="14" max="14" width="10.69921875" style="1" hidden="1" customWidth="1"/>
    <col min="15" max="15" width="11.69921875" style="1" hidden="1" customWidth="1"/>
    <col min="16" max="16" width="11.59765625" style="1" hidden="1" customWidth="1"/>
    <col min="17" max="18" width="10.19921875" style="1" hidden="1" customWidth="1"/>
    <col min="19" max="19" width="9.8984375" style="1" hidden="1" customWidth="1"/>
    <col min="20" max="21" width="11.69921875" style="1" hidden="1" customWidth="1"/>
    <col min="22" max="22" width="9.8984375" style="1" hidden="1" customWidth="1"/>
    <col min="23" max="24" width="9.8984375" style="1" customWidth="1"/>
    <col min="25" max="25" width="11.19921875" style="1" hidden="1" customWidth="1"/>
    <col min="26" max="26" width="9.8984375" style="1" hidden="1" customWidth="1"/>
    <col min="27" max="27" width="10.5" style="1" hidden="1" customWidth="1"/>
    <col min="28" max="28" width="10.3984375" style="1" hidden="1" customWidth="1"/>
    <col min="29" max="29" width="11.59765625" style="1" hidden="1" customWidth="1"/>
    <col min="30" max="30" width="16.296875" style="1" customWidth="1"/>
    <col min="31" max="31" width="11.8984375" style="1" hidden="1" customWidth="1"/>
    <col min="32" max="32" width="10.19921875" style="1" hidden="1" customWidth="1"/>
    <col min="33" max="33" width="9.8984375" style="1" hidden="1" customWidth="1"/>
    <col min="34" max="34" width="11.19921875" style="1" hidden="1" customWidth="1"/>
    <col min="35" max="35" width="11.69921875" style="1" hidden="1" customWidth="1"/>
    <col min="36" max="36" width="12.3984375" style="1" hidden="1" customWidth="1"/>
    <col min="37" max="37" width="14" style="1" customWidth="1"/>
    <col min="38" max="38" width="14.09765625" style="1" customWidth="1"/>
    <col min="39" max="39" width="11.19921875" style="1" hidden="1" customWidth="1"/>
    <col min="40" max="40" width="8.59765625" style="1" hidden="1" customWidth="1"/>
    <col min="41" max="41" width="10.5" style="1" hidden="1" customWidth="1"/>
    <col min="42" max="42" width="10.3984375" style="1" hidden="1" customWidth="1"/>
    <col min="43" max="43" width="3.69921875" style="1" hidden="1" customWidth="1"/>
    <col min="44" max="44" width="14.19921875" style="1" customWidth="1"/>
    <col min="45" max="47" width="16" style="1" customWidth="1"/>
    <col min="48" max="16384" width="9" style="1"/>
  </cols>
  <sheetData>
    <row r="1" spans="2:47" ht="25.2" customHeight="1" x14ac:dyDescent="0.3">
      <c r="B1" s="25" t="s">
        <v>59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</row>
    <row r="3" spans="2:47" ht="25.2" customHeight="1" x14ac:dyDescent="0.3">
      <c r="B3" s="36" t="s">
        <v>0</v>
      </c>
      <c r="C3" s="37">
        <v>2024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9"/>
      <c r="Q3" s="29">
        <v>2025</v>
      </c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1"/>
      <c r="AE3" s="29">
        <v>2026</v>
      </c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1"/>
      <c r="AS3" s="27" t="s">
        <v>52</v>
      </c>
      <c r="AT3" s="28"/>
      <c r="AU3" s="28"/>
    </row>
    <row r="4" spans="2:47" ht="57.75" customHeight="1" x14ac:dyDescent="0.3">
      <c r="B4" s="36"/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3" t="s">
        <v>53</v>
      </c>
      <c r="Q4" s="2" t="s">
        <v>1</v>
      </c>
      <c r="R4" s="2" t="s">
        <v>2</v>
      </c>
      <c r="S4" s="2" t="s">
        <v>3</v>
      </c>
      <c r="T4" s="2" t="s">
        <v>4</v>
      </c>
      <c r="U4" s="2" t="s">
        <v>5</v>
      </c>
      <c r="V4" s="2" t="s">
        <v>6</v>
      </c>
      <c r="W4" s="2" t="s">
        <v>7</v>
      </c>
      <c r="X4" s="2" t="s">
        <v>8</v>
      </c>
      <c r="Y4" s="2" t="s">
        <v>9</v>
      </c>
      <c r="Z4" s="2" t="s">
        <v>10</v>
      </c>
      <c r="AA4" s="2" t="s">
        <v>11</v>
      </c>
      <c r="AB4" s="2" t="s">
        <v>12</v>
      </c>
      <c r="AC4" s="2" t="s">
        <v>13</v>
      </c>
      <c r="AD4" s="3" t="s">
        <v>54</v>
      </c>
      <c r="AE4" s="2" t="s">
        <v>1</v>
      </c>
      <c r="AF4" s="2" t="s">
        <v>2</v>
      </c>
      <c r="AG4" s="2" t="s">
        <v>3</v>
      </c>
      <c r="AH4" s="2" t="s">
        <v>4</v>
      </c>
      <c r="AI4" s="2" t="s">
        <v>5</v>
      </c>
      <c r="AJ4" s="2" t="s">
        <v>6</v>
      </c>
      <c r="AK4" s="2" t="s">
        <v>7</v>
      </c>
      <c r="AL4" s="2" t="s">
        <v>8</v>
      </c>
      <c r="AM4" s="2" t="s">
        <v>9</v>
      </c>
      <c r="AN4" s="2" t="s">
        <v>10</v>
      </c>
      <c r="AO4" s="2" t="s">
        <v>11</v>
      </c>
      <c r="AP4" s="2" t="s">
        <v>12</v>
      </c>
      <c r="AQ4" s="2" t="s">
        <v>13</v>
      </c>
      <c r="AR4" s="3" t="s">
        <v>54</v>
      </c>
      <c r="AS4" s="4" t="s">
        <v>56</v>
      </c>
      <c r="AT4" s="4" t="s">
        <v>57</v>
      </c>
      <c r="AU4" s="4" t="s">
        <v>58</v>
      </c>
    </row>
    <row r="5" spans="2:47" ht="25.2" customHeight="1" x14ac:dyDescent="0.3">
      <c r="B5" s="5" t="s">
        <v>14</v>
      </c>
      <c r="C5" s="6">
        <v>825774</v>
      </c>
      <c r="D5" s="6">
        <v>649675</v>
      </c>
      <c r="E5" s="6">
        <v>681578</v>
      </c>
      <c r="F5" s="6">
        <v>746589</v>
      </c>
      <c r="G5" s="6">
        <v>608912</v>
      </c>
      <c r="H5" s="6">
        <v>843310</v>
      </c>
      <c r="I5" s="6">
        <v>881876</v>
      </c>
      <c r="J5" s="6">
        <v>635563</v>
      </c>
      <c r="K5" s="6">
        <v>642748</v>
      </c>
      <c r="L5" s="6">
        <v>717071</v>
      </c>
      <c r="M5" s="6">
        <v>742243</v>
      </c>
      <c r="N5" s="6">
        <v>800709</v>
      </c>
      <c r="O5" s="6">
        <v>8775981</v>
      </c>
      <c r="P5" s="6">
        <v>8775981</v>
      </c>
      <c r="Q5" s="6">
        <v>980688</v>
      </c>
      <c r="R5" s="6">
        <v>753648</v>
      </c>
      <c r="S5" s="6">
        <v>579696</v>
      </c>
      <c r="T5" s="6">
        <v>925795</v>
      </c>
      <c r="U5" s="6">
        <v>583897</v>
      </c>
      <c r="V5" s="6">
        <v>723366</v>
      </c>
      <c r="W5" s="6">
        <v>867869</v>
      </c>
      <c r="X5" s="6">
        <v>679170</v>
      </c>
      <c r="Y5" s="6">
        <v>692253</v>
      </c>
      <c r="Z5" s="6">
        <v>716582</v>
      </c>
      <c r="AA5" s="6">
        <v>783616</v>
      </c>
      <c r="AB5" s="6">
        <v>820284</v>
      </c>
      <c r="AC5" s="6">
        <f>SUM(Q5:AB5)</f>
        <v>9106864</v>
      </c>
      <c r="AD5" s="6">
        <f>SUM(Q5:X5)</f>
        <v>6094129</v>
      </c>
      <c r="AE5" s="6">
        <v>1000051</v>
      </c>
      <c r="AF5" s="6">
        <f>SUM(AF6,AF23,AF30)</f>
        <v>694539</v>
      </c>
      <c r="AG5" s="6">
        <f>SUM(AG6,AG23,AG30)</f>
        <v>787674</v>
      </c>
      <c r="AH5" s="6">
        <f>AH6+AH23+AH30</f>
        <v>639507</v>
      </c>
      <c r="AI5" s="6">
        <f>AI6+AI23+AI30</f>
        <v>547044</v>
      </c>
      <c r="AJ5" s="6">
        <f>AJ6+AJ23+AJ30</f>
        <v>766125</v>
      </c>
      <c r="AK5" s="6">
        <f>AK6+AK23+AK30</f>
        <v>801381</v>
      </c>
      <c r="AL5" s="6">
        <f>AL6+AL23+AL30</f>
        <v>642035</v>
      </c>
      <c r="AM5" s="6"/>
      <c r="AN5" s="6"/>
      <c r="AO5" s="6"/>
      <c r="AP5" s="6"/>
      <c r="AQ5" s="6"/>
      <c r="AR5" s="6">
        <f>SUM(AE5:AL5)</f>
        <v>5878356</v>
      </c>
      <c r="AS5" s="7">
        <f>IF(X5=0,"-",((AL5-X5)/X5*100))</f>
        <v>-5.4677032259964369</v>
      </c>
      <c r="AT5" s="7">
        <f>IF(AK5=0,"-",((AL5-AK5)/AK5*100))</f>
        <v>-19.883925373823438</v>
      </c>
      <c r="AU5" s="7">
        <f>IF(AD5=0,"-",((AR5-AD5)/AD5*100))</f>
        <v>-3.5406700448907467</v>
      </c>
    </row>
    <row r="6" spans="2:47" ht="25.2" customHeight="1" x14ac:dyDescent="0.3">
      <c r="B6" s="8" t="s">
        <v>15</v>
      </c>
      <c r="C6" s="9">
        <v>667518</v>
      </c>
      <c r="D6" s="9">
        <v>522375</v>
      </c>
      <c r="E6" s="9">
        <v>557209</v>
      </c>
      <c r="F6" s="9">
        <v>593391</v>
      </c>
      <c r="G6" s="9">
        <v>477508</v>
      </c>
      <c r="H6" s="9">
        <v>683074</v>
      </c>
      <c r="I6" s="9">
        <v>726216</v>
      </c>
      <c r="J6" s="9">
        <v>513170</v>
      </c>
      <c r="K6" s="9">
        <v>520130</v>
      </c>
      <c r="L6" s="9">
        <v>589790</v>
      </c>
      <c r="M6" s="9">
        <v>613929</v>
      </c>
      <c r="N6" s="9">
        <v>629947</v>
      </c>
      <c r="O6" s="9">
        <v>7094257</v>
      </c>
      <c r="P6" s="9">
        <f t="shared" ref="P6:P40" si="0">SUM(C6:N6)</f>
        <v>7094257</v>
      </c>
      <c r="Q6" s="9">
        <v>792715</v>
      </c>
      <c r="R6" s="9">
        <v>627400</v>
      </c>
      <c r="S6" s="9">
        <v>461446</v>
      </c>
      <c r="T6" s="9">
        <v>755792</v>
      </c>
      <c r="U6" s="9">
        <v>454240</v>
      </c>
      <c r="V6" s="9">
        <v>579871</v>
      </c>
      <c r="W6" s="9">
        <v>693249</v>
      </c>
      <c r="X6" s="9">
        <v>550850</v>
      </c>
      <c r="Y6" s="9">
        <v>563013</v>
      </c>
      <c r="Z6" s="9">
        <v>590870</v>
      </c>
      <c r="AA6" s="9">
        <v>656043</v>
      </c>
      <c r="AB6" s="9">
        <v>658852</v>
      </c>
      <c r="AC6" s="9">
        <f t="shared" ref="AC6:AC40" si="1">SUM(Q6:AB6)</f>
        <v>7384341</v>
      </c>
      <c r="AD6" s="9">
        <f t="shared" ref="AD6:AD40" si="2">SUM(Q6:X6)</f>
        <v>4915563</v>
      </c>
      <c r="AE6" s="9">
        <v>826306</v>
      </c>
      <c r="AF6" s="9">
        <f t="shared" ref="AF6:AL6" si="3">SUM(AF7:AF22)</f>
        <v>565754</v>
      </c>
      <c r="AG6" s="9">
        <f t="shared" si="3"/>
        <v>620679</v>
      </c>
      <c r="AH6" s="9">
        <f t="shared" si="3"/>
        <v>523102</v>
      </c>
      <c r="AI6" s="9">
        <f t="shared" si="3"/>
        <v>417221</v>
      </c>
      <c r="AJ6" s="9">
        <f t="shared" si="3"/>
        <v>632088</v>
      </c>
      <c r="AK6" s="9">
        <f t="shared" si="3"/>
        <v>634812</v>
      </c>
      <c r="AL6" s="9">
        <f t="shared" si="3"/>
        <v>506274</v>
      </c>
      <c r="AM6" s="9"/>
      <c r="AN6" s="9"/>
      <c r="AO6" s="9"/>
      <c r="AP6" s="9"/>
      <c r="AQ6" s="9"/>
      <c r="AR6" s="9">
        <f t="shared" ref="AR6:AR40" si="4">SUM(AE6:AL6)</f>
        <v>4726236</v>
      </c>
      <c r="AS6" s="10">
        <f t="shared" ref="AS6:AS39" si="5">IF(X6=0,"-",((AL6-X6)/X6*100))</f>
        <v>-8.0922211128256336</v>
      </c>
      <c r="AT6" s="10">
        <f t="shared" ref="AT6:AT39" si="6">IF(AK6=0,"-",((AL6-AK6)/AK6*100))</f>
        <v>-20.248199466928789</v>
      </c>
      <c r="AU6" s="10">
        <f>IF(AD6=0,"-",((AR6-AD6)/AD6*100))</f>
        <v>-3.8515832265805563</v>
      </c>
    </row>
    <row r="7" spans="2:47" ht="25.2" customHeight="1" x14ac:dyDescent="0.3">
      <c r="B7" s="11" t="s">
        <v>16</v>
      </c>
      <c r="C7" s="12">
        <v>29606</v>
      </c>
      <c r="D7" s="12">
        <v>18865</v>
      </c>
      <c r="E7" s="12">
        <v>22794</v>
      </c>
      <c r="F7" s="12">
        <v>34154</v>
      </c>
      <c r="G7" s="12">
        <v>19394</v>
      </c>
      <c r="H7" s="12">
        <v>33107</v>
      </c>
      <c r="I7" s="12">
        <v>21310</v>
      </c>
      <c r="J7" s="12">
        <v>12475</v>
      </c>
      <c r="K7" s="12">
        <v>17728</v>
      </c>
      <c r="L7" s="12">
        <v>22327</v>
      </c>
      <c r="M7" s="12">
        <v>24065</v>
      </c>
      <c r="N7" s="12">
        <v>28530</v>
      </c>
      <c r="O7" s="12">
        <v>284355</v>
      </c>
      <c r="P7" s="12">
        <f t="shared" si="0"/>
        <v>284355</v>
      </c>
      <c r="Q7" s="12">
        <v>39083</v>
      </c>
      <c r="R7" s="12">
        <v>24004</v>
      </c>
      <c r="S7" s="12">
        <v>20987</v>
      </c>
      <c r="T7" s="12">
        <v>53117</v>
      </c>
      <c r="U7" s="12">
        <v>22961</v>
      </c>
      <c r="V7" s="12">
        <v>24135</v>
      </c>
      <c r="W7" s="12">
        <v>25499</v>
      </c>
      <c r="X7" s="12">
        <v>14087</v>
      </c>
      <c r="Y7" s="12">
        <v>19201</v>
      </c>
      <c r="Z7" s="12">
        <v>22552</v>
      </c>
      <c r="AA7" s="12">
        <v>31336</v>
      </c>
      <c r="AB7" s="12">
        <v>29248</v>
      </c>
      <c r="AC7" s="12">
        <f t="shared" si="1"/>
        <v>326210</v>
      </c>
      <c r="AD7" s="12">
        <f t="shared" si="2"/>
        <v>223873</v>
      </c>
      <c r="AE7" s="12">
        <v>42337</v>
      </c>
      <c r="AF7" s="12">
        <v>21490</v>
      </c>
      <c r="AG7" s="12">
        <v>46919</v>
      </c>
      <c r="AH7" s="12">
        <v>23384</v>
      </c>
      <c r="AI7" s="12">
        <v>19476</v>
      </c>
      <c r="AJ7" s="12">
        <v>20477</v>
      </c>
      <c r="AK7" s="12">
        <v>23185</v>
      </c>
      <c r="AL7" s="12">
        <v>12654</v>
      </c>
      <c r="AM7" s="12"/>
      <c r="AN7" s="12"/>
      <c r="AO7" s="12"/>
      <c r="AP7" s="12"/>
      <c r="AQ7" s="12"/>
      <c r="AR7" s="12">
        <f t="shared" si="4"/>
        <v>209922</v>
      </c>
      <c r="AS7" s="13">
        <f t="shared" si="5"/>
        <v>-10.172499467594236</v>
      </c>
      <c r="AT7" s="13">
        <f t="shared" si="6"/>
        <v>-45.42160879879232</v>
      </c>
      <c r="AU7" s="13">
        <f t="shared" ref="AU7:AU38" si="7">IF(AD7=0,"-",((AR7-AD7)/AD7*100))</f>
        <v>-6.2316581275991298</v>
      </c>
    </row>
    <row r="8" spans="2:47" ht="25.2" customHeight="1" x14ac:dyDescent="0.3">
      <c r="B8" s="11" t="s">
        <v>17</v>
      </c>
      <c r="C8" s="12">
        <v>430871</v>
      </c>
      <c r="D8" s="12">
        <v>334632</v>
      </c>
      <c r="E8" s="12">
        <v>363049</v>
      </c>
      <c r="F8" s="12">
        <v>399162</v>
      </c>
      <c r="G8" s="12">
        <v>323823</v>
      </c>
      <c r="H8" s="12">
        <v>460849</v>
      </c>
      <c r="I8" s="12">
        <v>472576</v>
      </c>
      <c r="J8" s="12">
        <v>330532</v>
      </c>
      <c r="K8" s="12">
        <v>336343</v>
      </c>
      <c r="L8" s="12">
        <v>390343</v>
      </c>
      <c r="M8" s="12">
        <v>406731</v>
      </c>
      <c r="N8" s="12">
        <v>413951</v>
      </c>
      <c r="O8" s="12">
        <v>4662862</v>
      </c>
      <c r="P8" s="12">
        <f t="shared" si="0"/>
        <v>4662862</v>
      </c>
      <c r="Q8" s="12">
        <v>520798</v>
      </c>
      <c r="R8" s="12">
        <v>410738</v>
      </c>
      <c r="S8" s="12">
        <v>298871</v>
      </c>
      <c r="T8" s="12">
        <v>501934</v>
      </c>
      <c r="U8" s="12">
        <v>304719</v>
      </c>
      <c r="V8" s="12">
        <v>343266</v>
      </c>
      <c r="W8" s="12">
        <v>428872</v>
      </c>
      <c r="X8" s="12">
        <v>340213</v>
      </c>
      <c r="Y8" s="12">
        <v>362368</v>
      </c>
      <c r="Z8" s="12">
        <v>384681</v>
      </c>
      <c r="AA8" s="12">
        <v>419806</v>
      </c>
      <c r="AB8" s="12">
        <v>425329</v>
      </c>
      <c r="AC8" s="12">
        <f t="shared" si="1"/>
        <v>4741595</v>
      </c>
      <c r="AD8" s="12">
        <f t="shared" si="2"/>
        <v>3149411</v>
      </c>
      <c r="AE8" s="12">
        <v>528238</v>
      </c>
      <c r="AF8" s="12">
        <v>364038</v>
      </c>
      <c r="AG8" s="12">
        <v>386027</v>
      </c>
      <c r="AH8" s="12">
        <v>347636</v>
      </c>
      <c r="AI8" s="12">
        <v>275725</v>
      </c>
      <c r="AJ8" s="12">
        <v>332757</v>
      </c>
      <c r="AK8" s="12">
        <v>406880</v>
      </c>
      <c r="AL8" s="12">
        <v>322910</v>
      </c>
      <c r="AM8" s="12"/>
      <c r="AN8" s="12"/>
      <c r="AO8" s="12"/>
      <c r="AP8" s="12"/>
      <c r="AQ8" s="12"/>
      <c r="AR8" s="12">
        <f t="shared" si="4"/>
        <v>2964211</v>
      </c>
      <c r="AS8" s="13">
        <f t="shared" si="5"/>
        <v>-5.0859314605849866</v>
      </c>
      <c r="AT8" s="13">
        <f t="shared" si="6"/>
        <v>-20.637534408179313</v>
      </c>
      <c r="AU8" s="13">
        <f t="shared" si="7"/>
        <v>-5.8804646329107246</v>
      </c>
    </row>
    <row r="9" spans="2:47" ht="25.2" customHeight="1" x14ac:dyDescent="0.3">
      <c r="B9" s="11" t="s">
        <v>18</v>
      </c>
      <c r="C9" s="12">
        <v>69737</v>
      </c>
      <c r="D9" s="12">
        <v>54888</v>
      </c>
      <c r="E9" s="12">
        <v>58510</v>
      </c>
      <c r="F9" s="12">
        <v>48617</v>
      </c>
      <c r="G9" s="12">
        <v>37637</v>
      </c>
      <c r="H9" s="12">
        <v>54365</v>
      </c>
      <c r="I9" s="12">
        <v>62708</v>
      </c>
      <c r="J9" s="12">
        <v>50075</v>
      </c>
      <c r="K9" s="12">
        <v>51704</v>
      </c>
      <c r="L9" s="12">
        <v>52177</v>
      </c>
      <c r="M9" s="12">
        <v>55895</v>
      </c>
      <c r="N9" s="12">
        <v>53667</v>
      </c>
      <c r="O9" s="12">
        <v>649980</v>
      </c>
      <c r="P9" s="12">
        <f t="shared" si="0"/>
        <v>649980</v>
      </c>
      <c r="Q9" s="12">
        <v>65182</v>
      </c>
      <c r="R9" s="12">
        <v>51982</v>
      </c>
      <c r="S9" s="12">
        <v>42700</v>
      </c>
      <c r="T9" s="12">
        <v>56921</v>
      </c>
      <c r="U9" s="12">
        <v>33237</v>
      </c>
      <c r="V9" s="12">
        <v>53194</v>
      </c>
      <c r="W9" s="12">
        <v>61242</v>
      </c>
      <c r="X9" s="12">
        <v>52841</v>
      </c>
      <c r="Y9" s="12">
        <v>53855</v>
      </c>
      <c r="Z9" s="12">
        <v>53664</v>
      </c>
      <c r="AA9" s="12">
        <v>59256</v>
      </c>
      <c r="AB9" s="12">
        <v>60315</v>
      </c>
      <c r="AC9" s="12">
        <f t="shared" si="1"/>
        <v>644389</v>
      </c>
      <c r="AD9" s="12">
        <f t="shared" si="2"/>
        <v>417299</v>
      </c>
      <c r="AE9" s="12">
        <v>69850</v>
      </c>
      <c r="AF9" s="12">
        <v>41862</v>
      </c>
      <c r="AG9" s="12">
        <v>45470</v>
      </c>
      <c r="AH9" s="12">
        <v>37241</v>
      </c>
      <c r="AI9" s="12">
        <v>29726</v>
      </c>
      <c r="AJ9" s="12">
        <v>67918</v>
      </c>
      <c r="AK9" s="12">
        <v>52931</v>
      </c>
      <c r="AL9" s="12">
        <v>43896</v>
      </c>
      <c r="AM9" s="12"/>
      <c r="AN9" s="12"/>
      <c r="AO9" s="12"/>
      <c r="AP9" s="12"/>
      <c r="AQ9" s="12"/>
      <c r="AR9" s="12">
        <f t="shared" si="4"/>
        <v>388894</v>
      </c>
      <c r="AS9" s="13">
        <f t="shared" si="5"/>
        <v>-16.92814291932401</v>
      </c>
      <c r="AT9" s="13">
        <f t="shared" si="6"/>
        <v>-17.069392227617087</v>
      </c>
      <c r="AU9" s="13">
        <f t="shared" si="7"/>
        <v>-6.8068698942484875</v>
      </c>
    </row>
    <row r="10" spans="2:47" ht="25.2" customHeight="1" x14ac:dyDescent="0.3">
      <c r="B10" s="11" t="s">
        <v>19</v>
      </c>
      <c r="C10" s="12">
        <v>68971</v>
      </c>
      <c r="D10" s="12">
        <v>56856</v>
      </c>
      <c r="E10" s="12">
        <v>58451</v>
      </c>
      <c r="F10" s="12">
        <v>61698</v>
      </c>
      <c r="G10" s="12">
        <v>54612</v>
      </c>
      <c r="H10" s="12">
        <v>63331</v>
      </c>
      <c r="I10" s="12">
        <v>73667</v>
      </c>
      <c r="J10" s="12">
        <v>58304</v>
      </c>
      <c r="K10" s="12">
        <v>58719</v>
      </c>
      <c r="L10" s="12">
        <v>63250</v>
      </c>
      <c r="M10" s="12">
        <v>62112</v>
      </c>
      <c r="N10" s="12">
        <v>69128</v>
      </c>
      <c r="O10" s="12">
        <v>749099</v>
      </c>
      <c r="P10" s="12">
        <f t="shared" si="0"/>
        <v>749099</v>
      </c>
      <c r="Q10" s="12">
        <v>85559</v>
      </c>
      <c r="R10" s="12">
        <v>70256</v>
      </c>
      <c r="S10" s="12">
        <v>52366</v>
      </c>
      <c r="T10" s="12">
        <v>73187</v>
      </c>
      <c r="U10" s="12">
        <v>55475</v>
      </c>
      <c r="V10" s="12">
        <v>60937</v>
      </c>
      <c r="W10" s="12">
        <v>74312</v>
      </c>
      <c r="X10" s="12">
        <v>61664</v>
      </c>
      <c r="Y10" s="12">
        <v>56021</v>
      </c>
      <c r="Z10" s="12">
        <v>54943</v>
      </c>
      <c r="AA10" s="12">
        <v>62344</v>
      </c>
      <c r="AB10" s="12">
        <v>64006</v>
      </c>
      <c r="AC10" s="12">
        <f t="shared" si="1"/>
        <v>771070</v>
      </c>
      <c r="AD10" s="12">
        <f t="shared" si="2"/>
        <v>533756</v>
      </c>
      <c r="AE10" s="12">
        <v>83540</v>
      </c>
      <c r="AF10" s="12">
        <v>59919</v>
      </c>
      <c r="AG10" s="12">
        <v>68803</v>
      </c>
      <c r="AH10" s="12">
        <v>54515</v>
      </c>
      <c r="AI10" s="12">
        <v>50655</v>
      </c>
      <c r="AJ10" s="12">
        <v>55396</v>
      </c>
      <c r="AK10" s="12">
        <v>64383</v>
      </c>
      <c r="AL10" s="12">
        <v>55887</v>
      </c>
      <c r="AM10" s="12"/>
      <c r="AN10" s="12"/>
      <c r="AO10" s="12"/>
      <c r="AP10" s="12"/>
      <c r="AQ10" s="12"/>
      <c r="AR10" s="12">
        <f t="shared" si="4"/>
        <v>493098</v>
      </c>
      <c r="AS10" s="13">
        <f t="shared" si="5"/>
        <v>-9.3685132330046699</v>
      </c>
      <c r="AT10" s="13">
        <f t="shared" si="6"/>
        <v>-13.196030007921344</v>
      </c>
      <c r="AU10" s="13">
        <f t="shared" si="7"/>
        <v>-7.6173382594294026</v>
      </c>
    </row>
    <row r="11" spans="2:47" ht="25.2" customHeight="1" x14ac:dyDescent="0.3">
      <c r="B11" s="11" t="s">
        <v>20</v>
      </c>
      <c r="C11" s="12">
        <v>9</v>
      </c>
      <c r="D11" s="12">
        <v>0</v>
      </c>
      <c r="E11" s="12">
        <v>10</v>
      </c>
      <c r="F11" s="12">
        <v>0</v>
      </c>
      <c r="G11" s="12">
        <v>22</v>
      </c>
      <c r="H11" s="12">
        <v>9</v>
      </c>
      <c r="I11" s="12">
        <v>0</v>
      </c>
      <c r="J11" s="12">
        <v>23</v>
      </c>
      <c r="K11" s="12">
        <v>0</v>
      </c>
      <c r="L11" s="12">
        <v>3</v>
      </c>
      <c r="M11" s="12">
        <v>5</v>
      </c>
      <c r="N11" s="12">
        <v>0</v>
      </c>
      <c r="O11" s="12">
        <v>81</v>
      </c>
      <c r="P11" s="12">
        <f t="shared" si="0"/>
        <v>81</v>
      </c>
      <c r="Q11" s="12">
        <v>7</v>
      </c>
      <c r="R11" s="12">
        <v>17</v>
      </c>
      <c r="S11" s="12">
        <v>0</v>
      </c>
      <c r="T11" s="12">
        <v>12</v>
      </c>
      <c r="U11" s="12">
        <v>12</v>
      </c>
      <c r="V11" s="12">
        <v>10</v>
      </c>
      <c r="W11" s="12">
        <v>14</v>
      </c>
      <c r="X11" s="12">
        <v>7</v>
      </c>
      <c r="Y11" s="12">
        <v>16</v>
      </c>
      <c r="Z11" s="12">
        <v>8</v>
      </c>
      <c r="AA11" s="12">
        <v>0</v>
      </c>
      <c r="AB11" s="12">
        <v>0</v>
      </c>
      <c r="AC11" s="12">
        <f t="shared" si="1"/>
        <v>103</v>
      </c>
      <c r="AD11" s="12">
        <f t="shared" si="2"/>
        <v>79</v>
      </c>
      <c r="AE11" s="12">
        <v>0</v>
      </c>
      <c r="AF11" s="12">
        <v>0</v>
      </c>
      <c r="AG11" s="12">
        <v>11</v>
      </c>
      <c r="AH11" s="12">
        <v>0</v>
      </c>
      <c r="AI11" s="12">
        <v>0</v>
      </c>
      <c r="AJ11" s="12">
        <v>0</v>
      </c>
      <c r="AK11" s="12">
        <v>0</v>
      </c>
      <c r="AL11" s="12">
        <v>10</v>
      </c>
      <c r="AM11" s="12"/>
      <c r="AN11" s="12"/>
      <c r="AO11" s="12"/>
      <c r="AP11" s="12"/>
      <c r="AQ11" s="12"/>
      <c r="AR11" s="12">
        <f t="shared" si="4"/>
        <v>21</v>
      </c>
      <c r="AS11" s="13">
        <f t="shared" si="5"/>
        <v>42.857142857142854</v>
      </c>
      <c r="AT11" s="13" t="str">
        <f t="shared" si="6"/>
        <v>-</v>
      </c>
      <c r="AU11" s="13">
        <f t="shared" si="7"/>
        <v>-73.417721518987349</v>
      </c>
    </row>
    <row r="12" spans="2:47" ht="25.2" customHeight="1" x14ac:dyDescent="0.3">
      <c r="B12" s="11" t="s">
        <v>21</v>
      </c>
      <c r="C12" s="12">
        <v>10163</v>
      </c>
      <c r="D12" s="12">
        <v>6664</v>
      </c>
      <c r="E12" s="12">
        <v>6650</v>
      </c>
      <c r="F12" s="12">
        <v>7457</v>
      </c>
      <c r="G12" s="12">
        <v>5473</v>
      </c>
      <c r="H12" s="12">
        <v>6470</v>
      </c>
      <c r="I12" s="12">
        <v>5541</v>
      </c>
      <c r="J12" s="12">
        <v>4119</v>
      </c>
      <c r="K12" s="12">
        <v>3703</v>
      </c>
      <c r="L12" s="12">
        <v>5095</v>
      </c>
      <c r="M12" s="12">
        <v>4324</v>
      </c>
      <c r="N12" s="12">
        <v>4736</v>
      </c>
      <c r="O12" s="12">
        <v>70395</v>
      </c>
      <c r="P12" s="12">
        <f t="shared" si="0"/>
        <v>70395</v>
      </c>
      <c r="Q12" s="12">
        <v>6877</v>
      </c>
      <c r="R12" s="12">
        <v>5269</v>
      </c>
      <c r="S12" s="12">
        <v>2702</v>
      </c>
      <c r="T12" s="12">
        <v>7360</v>
      </c>
      <c r="U12" s="12">
        <v>3523</v>
      </c>
      <c r="V12" s="12">
        <v>3509</v>
      </c>
      <c r="W12" s="12">
        <v>5379</v>
      </c>
      <c r="X12" s="12">
        <v>3961</v>
      </c>
      <c r="Y12" s="12">
        <v>3891</v>
      </c>
      <c r="Z12" s="12">
        <v>4305</v>
      </c>
      <c r="AA12" s="12">
        <v>4617</v>
      </c>
      <c r="AB12" s="12">
        <v>4674</v>
      </c>
      <c r="AC12" s="12">
        <f t="shared" si="1"/>
        <v>56067</v>
      </c>
      <c r="AD12" s="12">
        <f t="shared" si="2"/>
        <v>38580</v>
      </c>
      <c r="AE12" s="12">
        <v>7523</v>
      </c>
      <c r="AF12" s="12">
        <v>4978</v>
      </c>
      <c r="AG12" s="12">
        <v>5507</v>
      </c>
      <c r="AH12" s="12">
        <v>4387</v>
      </c>
      <c r="AI12" s="12">
        <v>3564</v>
      </c>
      <c r="AJ12" s="12">
        <v>11819</v>
      </c>
      <c r="AK12" s="12">
        <v>3669</v>
      </c>
      <c r="AL12" s="12">
        <v>2784</v>
      </c>
      <c r="AM12" s="12"/>
      <c r="AN12" s="12"/>
      <c r="AO12" s="12"/>
      <c r="AP12" s="12"/>
      <c r="AQ12" s="12"/>
      <c r="AR12" s="12">
        <f t="shared" si="4"/>
        <v>44231</v>
      </c>
      <c r="AS12" s="13">
        <f t="shared" si="5"/>
        <v>-29.714718505427921</v>
      </c>
      <c r="AT12" s="13">
        <f t="shared" si="6"/>
        <v>-24.121013900245298</v>
      </c>
      <c r="AU12" s="13">
        <f t="shared" si="7"/>
        <v>14.647485743908762</v>
      </c>
    </row>
    <row r="13" spans="2:47" ht="25.2" customHeight="1" x14ac:dyDescent="0.3">
      <c r="B13" s="11" t="s">
        <v>22</v>
      </c>
      <c r="C13" s="12">
        <v>2286</v>
      </c>
      <c r="D13" s="12">
        <v>1826</v>
      </c>
      <c r="E13" s="12">
        <v>3180</v>
      </c>
      <c r="F13" s="12">
        <v>2077</v>
      </c>
      <c r="G13" s="12">
        <v>1298</v>
      </c>
      <c r="H13" s="12">
        <v>5609</v>
      </c>
      <c r="I13" s="12">
        <v>2648</v>
      </c>
      <c r="J13" s="12">
        <v>1250</v>
      </c>
      <c r="K13" s="12">
        <v>1404</v>
      </c>
      <c r="L13" s="12">
        <v>929</v>
      </c>
      <c r="M13" s="12">
        <v>1467</v>
      </c>
      <c r="N13" s="12">
        <v>1526</v>
      </c>
      <c r="O13" s="12">
        <v>25500</v>
      </c>
      <c r="P13" s="12">
        <f t="shared" si="0"/>
        <v>25500</v>
      </c>
      <c r="Q13" s="12">
        <v>1916</v>
      </c>
      <c r="R13" s="12">
        <v>1928</v>
      </c>
      <c r="S13" s="12">
        <v>2459</v>
      </c>
      <c r="T13" s="12">
        <v>2575</v>
      </c>
      <c r="U13" s="12">
        <v>771</v>
      </c>
      <c r="V13" s="12">
        <v>5194</v>
      </c>
      <c r="W13" s="12">
        <v>1740</v>
      </c>
      <c r="X13" s="12">
        <v>2370</v>
      </c>
      <c r="Y13" s="12">
        <v>2540</v>
      </c>
      <c r="Z13" s="12">
        <v>1718</v>
      </c>
      <c r="AA13" s="12">
        <v>2287</v>
      </c>
      <c r="AB13" s="12">
        <v>2804</v>
      </c>
      <c r="AC13" s="12">
        <f t="shared" si="1"/>
        <v>28302</v>
      </c>
      <c r="AD13" s="12">
        <f t="shared" si="2"/>
        <v>18953</v>
      </c>
      <c r="AE13" s="12">
        <v>2734</v>
      </c>
      <c r="AF13" s="12">
        <v>2012</v>
      </c>
      <c r="AG13" s="12">
        <v>2981</v>
      </c>
      <c r="AH13" s="12">
        <v>1115</v>
      </c>
      <c r="AI13" s="12">
        <v>557</v>
      </c>
      <c r="AJ13" s="12">
        <v>6292</v>
      </c>
      <c r="AK13" s="12">
        <v>2387</v>
      </c>
      <c r="AL13" s="12">
        <v>1958</v>
      </c>
      <c r="AM13" s="12"/>
      <c r="AN13" s="12"/>
      <c r="AO13" s="12"/>
      <c r="AP13" s="12"/>
      <c r="AQ13" s="12"/>
      <c r="AR13" s="12">
        <f t="shared" si="4"/>
        <v>20036</v>
      </c>
      <c r="AS13" s="13">
        <f t="shared" si="5"/>
        <v>-17.383966244725737</v>
      </c>
      <c r="AT13" s="13">
        <f t="shared" si="6"/>
        <v>-17.972350230414747</v>
      </c>
      <c r="AU13" s="13">
        <f t="shared" si="7"/>
        <v>5.7141349654408273</v>
      </c>
    </row>
    <row r="14" spans="2:47" ht="25.2" customHeight="1" x14ac:dyDescent="0.3">
      <c r="B14" s="11" t="s">
        <v>23</v>
      </c>
      <c r="C14" s="12">
        <v>2037</v>
      </c>
      <c r="D14" s="12">
        <v>982</v>
      </c>
      <c r="E14" s="12">
        <v>1336</v>
      </c>
      <c r="F14" s="12">
        <v>1164</v>
      </c>
      <c r="G14" s="12">
        <v>1252</v>
      </c>
      <c r="H14" s="12">
        <v>1370</v>
      </c>
      <c r="I14" s="12">
        <v>1328</v>
      </c>
      <c r="J14" s="12">
        <v>852</v>
      </c>
      <c r="K14" s="12">
        <v>1271</v>
      </c>
      <c r="L14" s="12">
        <v>1452</v>
      </c>
      <c r="M14" s="12">
        <v>1380</v>
      </c>
      <c r="N14" s="12">
        <v>1577</v>
      </c>
      <c r="O14" s="12">
        <v>16001</v>
      </c>
      <c r="P14" s="12">
        <f t="shared" si="0"/>
        <v>16001</v>
      </c>
      <c r="Q14" s="12">
        <v>2851</v>
      </c>
      <c r="R14" s="12">
        <v>1608</v>
      </c>
      <c r="S14" s="12">
        <v>1212</v>
      </c>
      <c r="T14" s="12">
        <v>1565</v>
      </c>
      <c r="U14" s="12">
        <v>1311</v>
      </c>
      <c r="V14" s="12">
        <v>1126</v>
      </c>
      <c r="W14" s="12">
        <v>540</v>
      </c>
      <c r="X14" s="12">
        <v>327</v>
      </c>
      <c r="Y14" s="12">
        <v>384</v>
      </c>
      <c r="Z14" s="12">
        <v>262</v>
      </c>
      <c r="AA14" s="12">
        <v>510</v>
      </c>
      <c r="AB14" s="12">
        <v>1044</v>
      </c>
      <c r="AC14" s="12">
        <f t="shared" si="1"/>
        <v>12740</v>
      </c>
      <c r="AD14" s="12">
        <f t="shared" si="2"/>
        <v>10540</v>
      </c>
      <c r="AE14" s="12">
        <v>1885</v>
      </c>
      <c r="AF14" s="12">
        <v>1121</v>
      </c>
      <c r="AG14" s="12">
        <v>1502</v>
      </c>
      <c r="AH14" s="12">
        <v>730</v>
      </c>
      <c r="AI14" s="12">
        <v>842</v>
      </c>
      <c r="AJ14" s="12">
        <v>1484</v>
      </c>
      <c r="AK14" s="12">
        <v>1617</v>
      </c>
      <c r="AL14" s="12">
        <v>948</v>
      </c>
      <c r="AM14" s="12"/>
      <c r="AN14" s="12"/>
      <c r="AO14" s="12"/>
      <c r="AP14" s="12"/>
      <c r="AQ14" s="12"/>
      <c r="AR14" s="12">
        <f t="shared" si="4"/>
        <v>10129</v>
      </c>
      <c r="AS14" s="13">
        <f t="shared" si="5"/>
        <v>189.90825688073394</v>
      </c>
      <c r="AT14" s="13">
        <f t="shared" si="6"/>
        <v>-41.372912801484233</v>
      </c>
      <c r="AU14" s="13">
        <f t="shared" si="7"/>
        <v>-3.8994307400379506</v>
      </c>
    </row>
    <row r="15" spans="2:47" ht="25.2" customHeight="1" x14ac:dyDescent="0.3">
      <c r="B15" s="11" t="s">
        <v>24</v>
      </c>
      <c r="C15" s="12">
        <v>9140</v>
      </c>
      <c r="D15" s="12">
        <v>7512</v>
      </c>
      <c r="E15" s="12">
        <v>6478</v>
      </c>
      <c r="F15" s="12">
        <v>8740</v>
      </c>
      <c r="G15" s="12">
        <v>8696</v>
      </c>
      <c r="H15" s="12">
        <v>11022</v>
      </c>
      <c r="I15" s="12">
        <v>11940</v>
      </c>
      <c r="J15" s="12">
        <v>10760</v>
      </c>
      <c r="K15" s="12">
        <v>8623</v>
      </c>
      <c r="L15" s="12">
        <v>12588</v>
      </c>
      <c r="M15" s="12">
        <v>11595</v>
      </c>
      <c r="N15" s="12">
        <v>11614</v>
      </c>
      <c r="O15" s="12">
        <v>118708</v>
      </c>
      <c r="P15" s="12">
        <f t="shared" si="0"/>
        <v>118708</v>
      </c>
      <c r="Q15" s="12">
        <v>15175</v>
      </c>
      <c r="R15" s="12">
        <v>10834</v>
      </c>
      <c r="S15" s="12">
        <v>7474</v>
      </c>
      <c r="T15" s="12">
        <v>12681</v>
      </c>
      <c r="U15" s="12">
        <v>7565</v>
      </c>
      <c r="V15" s="12">
        <v>10107</v>
      </c>
      <c r="W15" s="12">
        <v>12882</v>
      </c>
      <c r="X15" s="12">
        <v>14086</v>
      </c>
      <c r="Y15" s="12">
        <v>10612</v>
      </c>
      <c r="Z15" s="12">
        <v>10954</v>
      </c>
      <c r="AA15" s="12">
        <v>12385</v>
      </c>
      <c r="AB15" s="12">
        <v>10648</v>
      </c>
      <c r="AC15" s="12">
        <f t="shared" si="1"/>
        <v>135403</v>
      </c>
      <c r="AD15" s="12">
        <f t="shared" si="2"/>
        <v>90804</v>
      </c>
      <c r="AE15" s="12">
        <v>13734</v>
      </c>
      <c r="AF15" s="12">
        <v>10768</v>
      </c>
      <c r="AG15" s="12">
        <v>10110</v>
      </c>
      <c r="AH15" s="12">
        <v>8073</v>
      </c>
      <c r="AI15" s="12">
        <v>5121</v>
      </c>
      <c r="AJ15" s="12">
        <v>11325</v>
      </c>
      <c r="AK15" s="12">
        <v>12170</v>
      </c>
      <c r="AL15" s="12">
        <v>9170</v>
      </c>
      <c r="AM15" s="12"/>
      <c r="AN15" s="12"/>
      <c r="AO15" s="12"/>
      <c r="AP15" s="12"/>
      <c r="AQ15" s="12"/>
      <c r="AR15" s="12">
        <f t="shared" si="4"/>
        <v>80471</v>
      </c>
      <c r="AS15" s="13">
        <f t="shared" si="5"/>
        <v>-34.899900610535283</v>
      </c>
      <c r="AT15" s="13">
        <f t="shared" si="6"/>
        <v>-24.650780608052589</v>
      </c>
      <c r="AU15" s="13">
        <f t="shared" si="7"/>
        <v>-11.379454649574908</v>
      </c>
    </row>
    <row r="16" spans="2:47" ht="25.2" customHeight="1" x14ac:dyDescent="0.3">
      <c r="B16" s="11" t="s">
        <v>25</v>
      </c>
      <c r="C16" s="12">
        <v>19251</v>
      </c>
      <c r="D16" s="12">
        <v>17277</v>
      </c>
      <c r="E16" s="12">
        <v>11520</v>
      </c>
      <c r="F16" s="12">
        <v>13603</v>
      </c>
      <c r="G16" s="12">
        <v>14104</v>
      </c>
      <c r="H16" s="12">
        <v>9938</v>
      </c>
      <c r="I16" s="12">
        <v>15947</v>
      </c>
      <c r="J16" s="12">
        <v>15463</v>
      </c>
      <c r="K16" s="12">
        <v>14572</v>
      </c>
      <c r="L16" s="12">
        <v>15382</v>
      </c>
      <c r="M16" s="12">
        <v>15688</v>
      </c>
      <c r="N16" s="12">
        <v>15507</v>
      </c>
      <c r="O16" s="12">
        <v>178252</v>
      </c>
      <c r="P16" s="12">
        <f t="shared" si="0"/>
        <v>178252</v>
      </c>
      <c r="Q16" s="12">
        <v>19470</v>
      </c>
      <c r="R16" s="12">
        <v>17572</v>
      </c>
      <c r="S16" s="12">
        <v>10163</v>
      </c>
      <c r="T16" s="12">
        <v>16915</v>
      </c>
      <c r="U16" s="12">
        <v>12327</v>
      </c>
      <c r="V16" s="12">
        <v>11737</v>
      </c>
      <c r="W16" s="12">
        <v>19501</v>
      </c>
      <c r="X16" s="12">
        <v>17338</v>
      </c>
      <c r="Y16" s="12">
        <v>15800</v>
      </c>
      <c r="Z16" s="12">
        <v>15936</v>
      </c>
      <c r="AA16" s="12">
        <v>18920</v>
      </c>
      <c r="AB16" s="12">
        <v>16618</v>
      </c>
      <c r="AC16" s="12">
        <f t="shared" si="1"/>
        <v>192297</v>
      </c>
      <c r="AD16" s="12">
        <f t="shared" si="2"/>
        <v>125023</v>
      </c>
      <c r="AE16" s="12">
        <v>22010</v>
      </c>
      <c r="AF16" s="12">
        <v>17686</v>
      </c>
      <c r="AG16" s="12">
        <v>15174</v>
      </c>
      <c r="AH16" s="12">
        <v>13415</v>
      </c>
      <c r="AI16" s="12">
        <v>9784</v>
      </c>
      <c r="AJ16" s="12">
        <v>9836</v>
      </c>
      <c r="AK16" s="12">
        <v>18768</v>
      </c>
      <c r="AL16" s="12">
        <v>16501</v>
      </c>
      <c r="AM16" s="12"/>
      <c r="AN16" s="12"/>
      <c r="AO16" s="12"/>
      <c r="AP16" s="12"/>
      <c r="AQ16" s="12"/>
      <c r="AR16" s="12">
        <f t="shared" si="4"/>
        <v>123174</v>
      </c>
      <c r="AS16" s="13">
        <f t="shared" si="5"/>
        <v>-4.8275464298073594</v>
      </c>
      <c r="AT16" s="13">
        <f t="shared" si="6"/>
        <v>-12.079070758738277</v>
      </c>
      <c r="AU16" s="13">
        <f t="shared" si="7"/>
        <v>-1.4789278772705823</v>
      </c>
    </row>
    <row r="17" spans="2:47" ht="25.2" customHeight="1" x14ac:dyDescent="0.3">
      <c r="B17" s="11" t="s">
        <v>26</v>
      </c>
      <c r="C17" s="12">
        <v>6105</v>
      </c>
      <c r="D17" s="12">
        <v>4469</v>
      </c>
      <c r="E17" s="12">
        <v>4132</v>
      </c>
      <c r="F17" s="12">
        <v>4724</v>
      </c>
      <c r="G17" s="12">
        <v>3324</v>
      </c>
      <c r="H17" s="12">
        <v>2593</v>
      </c>
      <c r="I17" s="12">
        <v>4655</v>
      </c>
      <c r="J17" s="12">
        <v>4558</v>
      </c>
      <c r="K17" s="12">
        <v>4750</v>
      </c>
      <c r="L17" s="12">
        <v>4801</v>
      </c>
      <c r="M17" s="12">
        <v>6656</v>
      </c>
      <c r="N17" s="12">
        <v>6927</v>
      </c>
      <c r="O17" s="12">
        <v>57694</v>
      </c>
      <c r="P17" s="12">
        <f t="shared" si="0"/>
        <v>57694</v>
      </c>
      <c r="Q17" s="12">
        <v>8911</v>
      </c>
      <c r="R17" s="12">
        <v>7550</v>
      </c>
      <c r="S17" s="12">
        <v>5029</v>
      </c>
      <c r="T17" s="12">
        <v>8870</v>
      </c>
      <c r="U17" s="12">
        <v>4624</v>
      </c>
      <c r="V17" s="12">
        <v>6259</v>
      </c>
      <c r="W17" s="12">
        <v>10618</v>
      </c>
      <c r="X17" s="12">
        <v>7336</v>
      </c>
      <c r="Y17" s="12">
        <v>5555</v>
      </c>
      <c r="Z17" s="12">
        <v>5956</v>
      </c>
      <c r="AA17" s="12">
        <v>6932</v>
      </c>
      <c r="AB17" s="12">
        <v>5159</v>
      </c>
      <c r="AC17" s="12">
        <f t="shared" si="1"/>
        <v>82799</v>
      </c>
      <c r="AD17" s="12">
        <f t="shared" si="2"/>
        <v>59197</v>
      </c>
      <c r="AE17" s="12">
        <v>7748</v>
      </c>
      <c r="AF17" s="12">
        <v>6108</v>
      </c>
      <c r="AG17" s="12">
        <v>6483</v>
      </c>
      <c r="AH17" s="12">
        <v>5268</v>
      </c>
      <c r="AI17" s="12">
        <v>3381</v>
      </c>
      <c r="AJ17" s="12">
        <v>8069</v>
      </c>
      <c r="AK17" s="12">
        <v>6770</v>
      </c>
      <c r="AL17" s="12">
        <v>6144</v>
      </c>
      <c r="AM17" s="12"/>
      <c r="AN17" s="12"/>
      <c r="AO17" s="12"/>
      <c r="AP17" s="12"/>
      <c r="AQ17" s="12"/>
      <c r="AR17" s="12">
        <f t="shared" si="4"/>
        <v>49971</v>
      </c>
      <c r="AS17" s="13">
        <f t="shared" si="5"/>
        <v>-16.248636859323881</v>
      </c>
      <c r="AT17" s="13">
        <f t="shared" si="6"/>
        <v>-9.2466765140324974</v>
      </c>
      <c r="AU17" s="13">
        <f t="shared" si="7"/>
        <v>-15.585249252495903</v>
      </c>
    </row>
    <row r="18" spans="2:47" ht="25.2" customHeight="1" x14ac:dyDescent="0.3">
      <c r="B18" s="11" t="s">
        <v>27</v>
      </c>
      <c r="C18" s="12">
        <v>5</v>
      </c>
      <c r="D18" s="12">
        <v>12</v>
      </c>
      <c r="E18" s="12">
        <v>0</v>
      </c>
      <c r="F18" s="12">
        <v>4</v>
      </c>
      <c r="G18" s="12">
        <v>15</v>
      </c>
      <c r="H18" s="12">
        <v>1</v>
      </c>
      <c r="I18" s="12">
        <v>0</v>
      </c>
      <c r="J18" s="12">
        <v>3</v>
      </c>
      <c r="K18" s="12">
        <v>0</v>
      </c>
      <c r="L18" s="12">
        <v>0</v>
      </c>
      <c r="M18" s="12">
        <v>5</v>
      </c>
      <c r="N18" s="12">
        <v>3</v>
      </c>
      <c r="O18" s="12">
        <v>48</v>
      </c>
      <c r="P18" s="12">
        <f t="shared" si="0"/>
        <v>48</v>
      </c>
      <c r="Q18" s="12">
        <v>0</v>
      </c>
      <c r="R18" s="12">
        <v>0</v>
      </c>
      <c r="S18" s="12">
        <v>5</v>
      </c>
      <c r="T18" s="12">
        <v>0</v>
      </c>
      <c r="U18" s="12">
        <v>0</v>
      </c>
      <c r="V18" s="12">
        <v>0</v>
      </c>
      <c r="W18" s="12">
        <v>12</v>
      </c>
      <c r="X18" s="12">
        <v>9</v>
      </c>
      <c r="Y18" s="12">
        <v>1928</v>
      </c>
      <c r="Z18" s="12">
        <v>2351</v>
      </c>
      <c r="AA18" s="12">
        <v>2113</v>
      </c>
      <c r="AB18" s="12">
        <v>2494</v>
      </c>
      <c r="AC18" s="12">
        <f t="shared" si="1"/>
        <v>8912</v>
      </c>
      <c r="AD18" s="12">
        <f t="shared" si="2"/>
        <v>26</v>
      </c>
      <c r="AE18" s="12">
        <v>3977</v>
      </c>
      <c r="AF18" s="12">
        <v>2602</v>
      </c>
      <c r="AG18" s="12">
        <v>2448</v>
      </c>
      <c r="AH18" s="12">
        <v>2703</v>
      </c>
      <c r="AI18" s="12">
        <v>2647</v>
      </c>
      <c r="AJ18" s="12">
        <v>2549</v>
      </c>
      <c r="AK18" s="12">
        <v>3427</v>
      </c>
      <c r="AL18" s="12">
        <v>2674</v>
      </c>
      <c r="AM18" s="12"/>
      <c r="AN18" s="12"/>
      <c r="AO18" s="12"/>
      <c r="AP18" s="12"/>
      <c r="AQ18" s="12"/>
      <c r="AR18" s="12">
        <f t="shared" si="4"/>
        <v>23027</v>
      </c>
      <c r="AS18" s="13">
        <f t="shared" si="5"/>
        <v>29611.111111111109</v>
      </c>
      <c r="AT18" s="13">
        <f t="shared" si="6"/>
        <v>-21.972570761599066</v>
      </c>
      <c r="AU18" s="13">
        <f t="shared" si="7"/>
        <v>88465.384615384624</v>
      </c>
    </row>
    <row r="19" spans="2:47" ht="25.2" customHeight="1" x14ac:dyDescent="0.3">
      <c r="B19" s="11" t="s">
        <v>28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4</v>
      </c>
      <c r="S19" s="12">
        <v>0</v>
      </c>
      <c r="T19" s="12">
        <v>0</v>
      </c>
      <c r="U19" s="12">
        <v>0</v>
      </c>
      <c r="V19" s="12">
        <v>0</v>
      </c>
      <c r="W19" s="12">
        <v>9</v>
      </c>
      <c r="X19" s="12">
        <v>0</v>
      </c>
      <c r="Y19" s="12">
        <v>3078</v>
      </c>
      <c r="Z19" s="12">
        <v>5051</v>
      </c>
      <c r="AA19" s="12">
        <v>5298</v>
      </c>
      <c r="AB19" s="12">
        <v>6117</v>
      </c>
      <c r="AC19" s="12">
        <f t="shared" si="1"/>
        <v>19557</v>
      </c>
      <c r="AD19" s="12">
        <f t="shared" si="2"/>
        <v>13</v>
      </c>
      <c r="AE19" s="12">
        <v>8551</v>
      </c>
      <c r="AF19" s="12">
        <v>5672</v>
      </c>
      <c r="AG19" s="12">
        <v>6062</v>
      </c>
      <c r="AH19" s="12">
        <v>3694</v>
      </c>
      <c r="AI19" s="12">
        <v>3165</v>
      </c>
      <c r="AJ19" s="12">
        <v>3679</v>
      </c>
      <c r="AK19" s="12">
        <v>5661</v>
      </c>
      <c r="AL19" s="12">
        <v>4744</v>
      </c>
      <c r="AM19" s="12"/>
      <c r="AN19" s="12"/>
      <c r="AO19" s="12"/>
      <c r="AP19" s="12"/>
      <c r="AQ19" s="12"/>
      <c r="AR19" s="12">
        <f t="shared" si="4"/>
        <v>41228</v>
      </c>
      <c r="AS19" s="13" t="str">
        <f t="shared" si="5"/>
        <v>-</v>
      </c>
      <c r="AT19" s="13">
        <f t="shared" si="6"/>
        <v>-16.198551492669139</v>
      </c>
      <c r="AU19" s="13">
        <f t="shared" si="7"/>
        <v>317038.4615384615</v>
      </c>
    </row>
    <row r="20" spans="2:47" ht="25.2" customHeight="1" x14ac:dyDescent="0.3">
      <c r="B20" s="11" t="s">
        <v>29</v>
      </c>
      <c r="C20" s="12">
        <v>11984</v>
      </c>
      <c r="D20" s="12">
        <v>11685</v>
      </c>
      <c r="E20" s="12">
        <v>13905</v>
      </c>
      <c r="F20" s="12">
        <v>6911</v>
      </c>
      <c r="G20" s="12">
        <v>4524</v>
      </c>
      <c r="H20" s="12">
        <v>7181</v>
      </c>
      <c r="I20" s="12">
        <v>11389</v>
      </c>
      <c r="J20" s="12">
        <v>15859</v>
      </c>
      <c r="K20" s="12">
        <v>13434</v>
      </c>
      <c r="L20" s="12">
        <v>13570</v>
      </c>
      <c r="M20" s="12">
        <v>12750</v>
      </c>
      <c r="N20" s="12">
        <v>10666</v>
      </c>
      <c r="O20" s="12">
        <v>133858</v>
      </c>
      <c r="P20" s="12">
        <f t="shared" si="0"/>
        <v>133858</v>
      </c>
      <c r="Q20" s="12">
        <v>13255</v>
      </c>
      <c r="R20" s="12">
        <v>13706</v>
      </c>
      <c r="S20" s="12">
        <v>9831</v>
      </c>
      <c r="T20" s="12">
        <v>11221</v>
      </c>
      <c r="U20" s="12">
        <v>3205</v>
      </c>
      <c r="V20" s="12">
        <v>13429</v>
      </c>
      <c r="W20" s="12">
        <v>13087</v>
      </c>
      <c r="X20" s="12">
        <v>18619</v>
      </c>
      <c r="Y20" s="12">
        <v>12434</v>
      </c>
      <c r="Z20" s="12">
        <v>12737</v>
      </c>
      <c r="AA20" s="12">
        <v>13008</v>
      </c>
      <c r="AB20" s="12">
        <v>12061</v>
      </c>
      <c r="AC20" s="12">
        <f t="shared" si="1"/>
        <v>146593</v>
      </c>
      <c r="AD20" s="12">
        <f t="shared" si="2"/>
        <v>96353</v>
      </c>
      <c r="AE20" s="12">
        <v>12950</v>
      </c>
      <c r="AF20" s="12">
        <v>12396</v>
      </c>
      <c r="AG20" s="12">
        <v>9804</v>
      </c>
      <c r="AH20" s="12">
        <v>8166</v>
      </c>
      <c r="AI20" s="12">
        <v>2789</v>
      </c>
      <c r="AJ20" s="12">
        <v>17380</v>
      </c>
      <c r="AK20" s="12">
        <v>9338</v>
      </c>
      <c r="AL20" s="12">
        <v>10115</v>
      </c>
      <c r="AM20" s="12"/>
      <c r="AN20" s="12"/>
      <c r="AO20" s="12"/>
      <c r="AP20" s="12"/>
      <c r="AQ20" s="12"/>
      <c r="AR20" s="12">
        <f t="shared" si="4"/>
        <v>82938</v>
      </c>
      <c r="AS20" s="13">
        <f t="shared" si="5"/>
        <v>-45.67377410172405</v>
      </c>
      <c r="AT20" s="13">
        <f t="shared" si="6"/>
        <v>8.3208395802098956</v>
      </c>
      <c r="AU20" s="13">
        <f t="shared" si="7"/>
        <v>-13.922763172916255</v>
      </c>
    </row>
    <row r="21" spans="2:47" ht="25.2" customHeight="1" x14ac:dyDescent="0.3">
      <c r="B21" s="11" t="s">
        <v>30</v>
      </c>
      <c r="C21" s="12">
        <v>1278</v>
      </c>
      <c r="D21" s="12">
        <v>1095</v>
      </c>
      <c r="E21" s="12">
        <v>1449</v>
      </c>
      <c r="F21" s="12">
        <v>166</v>
      </c>
      <c r="G21" s="12">
        <v>306</v>
      </c>
      <c r="H21" s="12">
        <v>2556</v>
      </c>
      <c r="I21" s="12">
        <v>3250</v>
      </c>
      <c r="J21" s="12">
        <v>3248</v>
      </c>
      <c r="K21" s="12">
        <v>2026</v>
      </c>
      <c r="L21" s="12">
        <v>3404</v>
      </c>
      <c r="M21" s="12">
        <v>3447</v>
      </c>
      <c r="N21" s="12">
        <v>3677</v>
      </c>
      <c r="O21" s="12">
        <v>25902</v>
      </c>
      <c r="P21" s="12">
        <f t="shared" si="0"/>
        <v>25902</v>
      </c>
      <c r="Q21" s="12">
        <v>3165</v>
      </c>
      <c r="R21" s="12">
        <v>2783</v>
      </c>
      <c r="S21" s="12">
        <v>1865</v>
      </c>
      <c r="T21" s="12">
        <v>350</v>
      </c>
      <c r="U21" s="12">
        <v>93</v>
      </c>
      <c r="V21" s="12">
        <v>4613</v>
      </c>
      <c r="W21" s="12">
        <v>5980</v>
      </c>
      <c r="X21" s="12">
        <v>9025</v>
      </c>
      <c r="Y21" s="12">
        <v>7039</v>
      </c>
      <c r="Z21" s="12">
        <v>6651</v>
      </c>
      <c r="AA21" s="12">
        <v>7123</v>
      </c>
      <c r="AB21" s="12">
        <v>8092</v>
      </c>
      <c r="AC21" s="12">
        <f t="shared" si="1"/>
        <v>56779</v>
      </c>
      <c r="AD21" s="12">
        <f t="shared" si="2"/>
        <v>27874</v>
      </c>
      <c r="AE21" s="12">
        <v>8635</v>
      </c>
      <c r="AF21" s="12">
        <v>5994</v>
      </c>
      <c r="AG21" s="12">
        <v>4301</v>
      </c>
      <c r="AH21" s="12">
        <v>3846</v>
      </c>
      <c r="AI21" s="12">
        <v>3531</v>
      </c>
      <c r="AJ21" s="12">
        <v>11024</v>
      </c>
      <c r="AK21" s="12">
        <v>10208</v>
      </c>
      <c r="AL21" s="12">
        <v>6979</v>
      </c>
      <c r="AM21" s="12"/>
      <c r="AN21" s="12"/>
      <c r="AO21" s="12"/>
      <c r="AP21" s="12"/>
      <c r="AQ21" s="12"/>
      <c r="AR21" s="12">
        <f t="shared" si="4"/>
        <v>54518</v>
      </c>
      <c r="AS21" s="13">
        <f t="shared" si="5"/>
        <v>-22.670360110803326</v>
      </c>
      <c r="AT21" s="13">
        <f t="shared" si="6"/>
        <v>-31.632053291536049</v>
      </c>
      <c r="AU21" s="13">
        <f t="shared" si="7"/>
        <v>95.587285642534255</v>
      </c>
    </row>
    <row r="22" spans="2:47" ht="25.2" customHeight="1" x14ac:dyDescent="0.3">
      <c r="B22" s="11" t="s">
        <v>31</v>
      </c>
      <c r="C22" s="12">
        <v>6075</v>
      </c>
      <c r="D22" s="12">
        <v>5612</v>
      </c>
      <c r="E22" s="12">
        <v>5745</v>
      </c>
      <c r="F22" s="12">
        <v>4914</v>
      </c>
      <c r="G22" s="12">
        <v>3028</v>
      </c>
      <c r="H22" s="12">
        <v>24673</v>
      </c>
      <c r="I22" s="12">
        <v>39257</v>
      </c>
      <c r="J22" s="12">
        <v>5649</v>
      </c>
      <c r="K22" s="12">
        <v>5853</v>
      </c>
      <c r="L22" s="12">
        <v>4469</v>
      </c>
      <c r="M22" s="12">
        <v>7809</v>
      </c>
      <c r="N22" s="12">
        <v>8438</v>
      </c>
      <c r="O22" s="12">
        <v>121522</v>
      </c>
      <c r="P22" s="12">
        <f t="shared" si="0"/>
        <v>121522</v>
      </c>
      <c r="Q22" s="12">
        <v>10466</v>
      </c>
      <c r="R22" s="12">
        <v>9149</v>
      </c>
      <c r="S22" s="12">
        <v>5782</v>
      </c>
      <c r="T22" s="12">
        <v>9084</v>
      </c>
      <c r="U22" s="12">
        <v>4417</v>
      </c>
      <c r="V22" s="12">
        <v>42355</v>
      </c>
      <c r="W22" s="12">
        <v>33562</v>
      </c>
      <c r="X22" s="12">
        <v>8967</v>
      </c>
      <c r="Y22" s="12">
        <v>8291</v>
      </c>
      <c r="Z22" s="12">
        <v>9101</v>
      </c>
      <c r="AA22" s="12">
        <v>10108</v>
      </c>
      <c r="AB22" s="12">
        <v>10243</v>
      </c>
      <c r="AC22" s="12">
        <f t="shared" si="1"/>
        <v>161525</v>
      </c>
      <c r="AD22" s="12">
        <f t="shared" si="2"/>
        <v>123782</v>
      </c>
      <c r="AE22" s="12">
        <v>12594</v>
      </c>
      <c r="AF22" s="12">
        <v>9108</v>
      </c>
      <c r="AG22" s="12">
        <v>9077</v>
      </c>
      <c r="AH22" s="12">
        <v>8929</v>
      </c>
      <c r="AI22" s="12">
        <v>6258</v>
      </c>
      <c r="AJ22" s="12">
        <v>72083</v>
      </c>
      <c r="AK22" s="12">
        <v>13418</v>
      </c>
      <c r="AL22" s="12">
        <v>8900</v>
      </c>
      <c r="AM22" s="12"/>
      <c r="AN22" s="12"/>
      <c r="AO22" s="12"/>
      <c r="AP22" s="12"/>
      <c r="AQ22" s="12"/>
      <c r="AR22" s="12">
        <f t="shared" si="4"/>
        <v>140367</v>
      </c>
      <c r="AS22" s="13">
        <f t="shared" si="5"/>
        <v>-0.74718411954945907</v>
      </c>
      <c r="AT22" s="13">
        <f t="shared" si="6"/>
        <v>-33.671187956476373</v>
      </c>
      <c r="AU22" s="13">
        <f t="shared" si="7"/>
        <v>13.398555525035949</v>
      </c>
    </row>
    <row r="23" spans="2:47" ht="25.2" customHeight="1" x14ac:dyDescent="0.3">
      <c r="B23" s="8" t="s">
        <v>32</v>
      </c>
      <c r="C23" s="9">
        <v>117728</v>
      </c>
      <c r="D23" s="9">
        <v>96331</v>
      </c>
      <c r="E23" s="9">
        <v>95121</v>
      </c>
      <c r="F23" s="9">
        <v>117535</v>
      </c>
      <c r="G23" s="9">
        <v>98860</v>
      </c>
      <c r="H23" s="9">
        <v>125157</v>
      </c>
      <c r="I23" s="9">
        <v>116917</v>
      </c>
      <c r="J23" s="9">
        <v>92320</v>
      </c>
      <c r="K23" s="9">
        <v>95184</v>
      </c>
      <c r="L23" s="9">
        <v>97589</v>
      </c>
      <c r="M23" s="9">
        <v>97492</v>
      </c>
      <c r="N23" s="9">
        <v>126793</v>
      </c>
      <c r="O23" s="9">
        <v>1277027</v>
      </c>
      <c r="P23" s="9">
        <f t="shared" si="0"/>
        <v>1277027</v>
      </c>
      <c r="Q23" s="9">
        <v>140078</v>
      </c>
      <c r="R23" s="9">
        <v>97594</v>
      </c>
      <c r="S23" s="9">
        <v>89980</v>
      </c>
      <c r="T23" s="9">
        <v>128651</v>
      </c>
      <c r="U23" s="9">
        <v>97118</v>
      </c>
      <c r="V23" s="9">
        <v>105445</v>
      </c>
      <c r="W23" s="9">
        <v>129047</v>
      </c>
      <c r="X23" s="9">
        <v>95216</v>
      </c>
      <c r="Y23" s="9">
        <v>96853</v>
      </c>
      <c r="Z23" s="9">
        <v>97421</v>
      </c>
      <c r="AA23" s="9">
        <v>98973</v>
      </c>
      <c r="AB23" s="9">
        <v>121353</v>
      </c>
      <c r="AC23" s="9">
        <f t="shared" si="1"/>
        <v>1297729</v>
      </c>
      <c r="AD23" s="9">
        <f t="shared" si="2"/>
        <v>883129</v>
      </c>
      <c r="AE23" s="9">
        <v>133340</v>
      </c>
      <c r="AF23" s="9">
        <v>100427</v>
      </c>
      <c r="AG23" s="9">
        <f>SUM(AG24:AG29)</f>
        <v>131679</v>
      </c>
      <c r="AH23" s="9">
        <v>88239</v>
      </c>
      <c r="AI23" s="9">
        <v>97547</v>
      </c>
      <c r="AJ23" s="9">
        <f>SUM(AJ24:AJ29)</f>
        <v>98878</v>
      </c>
      <c r="AK23" s="9">
        <f>SUM(AK24:AK29)</f>
        <v>123856</v>
      </c>
      <c r="AL23" s="9">
        <f>SUM(AL24:AL29)</f>
        <v>100923</v>
      </c>
      <c r="AM23" s="9"/>
      <c r="AN23" s="9"/>
      <c r="AO23" s="9"/>
      <c r="AP23" s="9"/>
      <c r="AQ23" s="9"/>
      <c r="AR23" s="9">
        <f t="shared" si="4"/>
        <v>874889</v>
      </c>
      <c r="AS23" s="10">
        <f t="shared" si="5"/>
        <v>5.9937405478070911</v>
      </c>
      <c r="AT23" s="10">
        <f t="shared" si="6"/>
        <v>-18.515857124402533</v>
      </c>
      <c r="AU23" s="10">
        <f t="shared" si="7"/>
        <v>-0.93304602158914496</v>
      </c>
    </row>
    <row r="24" spans="2:47" ht="25.2" customHeight="1" x14ac:dyDescent="0.3">
      <c r="B24" s="11" t="s">
        <v>33</v>
      </c>
      <c r="C24" s="12">
        <v>83829</v>
      </c>
      <c r="D24" s="12">
        <v>67922</v>
      </c>
      <c r="E24" s="12">
        <v>64118</v>
      </c>
      <c r="F24" s="12">
        <v>84659</v>
      </c>
      <c r="G24" s="12">
        <v>67328</v>
      </c>
      <c r="H24" s="12">
        <v>67023</v>
      </c>
      <c r="I24" s="12">
        <v>81454</v>
      </c>
      <c r="J24" s="12">
        <v>63202</v>
      </c>
      <c r="K24" s="12">
        <v>66630</v>
      </c>
      <c r="L24" s="12">
        <v>66446</v>
      </c>
      <c r="M24" s="12">
        <v>67378</v>
      </c>
      <c r="N24" s="12">
        <v>89054</v>
      </c>
      <c r="O24" s="12">
        <v>869043</v>
      </c>
      <c r="P24" s="12">
        <f t="shared" si="0"/>
        <v>869043</v>
      </c>
      <c r="Q24" s="12">
        <v>96544</v>
      </c>
      <c r="R24" s="12">
        <v>63901</v>
      </c>
      <c r="S24" s="12">
        <v>52997</v>
      </c>
      <c r="T24" s="12">
        <v>95233</v>
      </c>
      <c r="U24" s="12">
        <v>61960</v>
      </c>
      <c r="V24" s="12">
        <v>70072</v>
      </c>
      <c r="W24" s="12">
        <v>85530</v>
      </c>
      <c r="X24" s="12">
        <v>62093</v>
      </c>
      <c r="Y24" s="12">
        <v>63435</v>
      </c>
      <c r="Z24" s="12">
        <v>62824</v>
      </c>
      <c r="AA24" s="12">
        <v>65583</v>
      </c>
      <c r="AB24" s="12">
        <v>83552</v>
      </c>
      <c r="AC24" s="12">
        <f t="shared" si="1"/>
        <v>863724</v>
      </c>
      <c r="AD24" s="12">
        <f t="shared" si="2"/>
        <v>588330</v>
      </c>
      <c r="AE24" s="12">
        <v>90031</v>
      </c>
      <c r="AF24" s="12">
        <v>65742</v>
      </c>
      <c r="AG24" s="12">
        <v>89266</v>
      </c>
      <c r="AH24" s="12">
        <v>56247</v>
      </c>
      <c r="AI24" s="12">
        <v>62029</v>
      </c>
      <c r="AJ24" s="12">
        <v>62046</v>
      </c>
      <c r="AK24" s="12">
        <v>77998</v>
      </c>
      <c r="AL24" s="12">
        <v>64710</v>
      </c>
      <c r="AM24" s="12"/>
      <c r="AN24" s="12"/>
      <c r="AO24" s="12"/>
      <c r="AP24" s="12"/>
      <c r="AQ24" s="12"/>
      <c r="AR24" s="12">
        <f t="shared" si="4"/>
        <v>568069</v>
      </c>
      <c r="AS24" s="13">
        <f t="shared" si="5"/>
        <v>4.2146457732755707</v>
      </c>
      <c r="AT24" s="13">
        <f t="shared" si="6"/>
        <v>-17.036334264981154</v>
      </c>
      <c r="AU24" s="13">
        <f t="shared" si="7"/>
        <v>-3.4438155456971433</v>
      </c>
    </row>
    <row r="25" spans="2:47" ht="25.2" customHeight="1" x14ac:dyDescent="0.3">
      <c r="B25" s="11" t="s">
        <v>34</v>
      </c>
      <c r="C25" s="12">
        <v>301</v>
      </c>
      <c r="D25" s="12">
        <v>203</v>
      </c>
      <c r="E25" s="12">
        <v>264</v>
      </c>
      <c r="F25" s="12">
        <v>390</v>
      </c>
      <c r="G25" s="12">
        <v>306</v>
      </c>
      <c r="H25" s="12">
        <v>214</v>
      </c>
      <c r="I25" s="12">
        <v>322</v>
      </c>
      <c r="J25" s="12">
        <v>257</v>
      </c>
      <c r="K25" s="12">
        <v>230</v>
      </c>
      <c r="L25" s="12">
        <v>311</v>
      </c>
      <c r="M25" s="12">
        <v>246</v>
      </c>
      <c r="N25" s="12">
        <v>328</v>
      </c>
      <c r="O25" s="12">
        <v>3372</v>
      </c>
      <c r="P25" s="12">
        <f t="shared" si="0"/>
        <v>3372</v>
      </c>
      <c r="Q25" s="12">
        <v>383</v>
      </c>
      <c r="R25" s="12">
        <v>285</v>
      </c>
      <c r="S25" s="12">
        <v>315</v>
      </c>
      <c r="T25" s="12">
        <v>405</v>
      </c>
      <c r="U25" s="12">
        <v>272</v>
      </c>
      <c r="V25" s="12">
        <v>450</v>
      </c>
      <c r="W25" s="12">
        <v>439</v>
      </c>
      <c r="X25" s="12">
        <v>366</v>
      </c>
      <c r="Y25" s="12">
        <v>333</v>
      </c>
      <c r="Z25" s="12">
        <v>388</v>
      </c>
      <c r="AA25" s="12">
        <v>354</v>
      </c>
      <c r="AB25" s="12">
        <v>641</v>
      </c>
      <c r="AC25" s="12">
        <f t="shared" si="1"/>
        <v>4631</v>
      </c>
      <c r="AD25" s="12">
        <f t="shared" si="2"/>
        <v>2915</v>
      </c>
      <c r="AE25" s="12">
        <v>486</v>
      </c>
      <c r="AF25" s="12">
        <v>505</v>
      </c>
      <c r="AG25" s="12">
        <v>568</v>
      </c>
      <c r="AH25" s="12">
        <v>347</v>
      </c>
      <c r="AI25" s="12">
        <v>363</v>
      </c>
      <c r="AJ25" s="12">
        <v>364</v>
      </c>
      <c r="AK25" s="12">
        <v>424</v>
      </c>
      <c r="AL25" s="12">
        <v>309</v>
      </c>
      <c r="AM25" s="12"/>
      <c r="AN25" s="12"/>
      <c r="AO25" s="12"/>
      <c r="AP25" s="12"/>
      <c r="AQ25" s="12"/>
      <c r="AR25" s="12">
        <f t="shared" si="4"/>
        <v>3366</v>
      </c>
      <c r="AS25" s="13">
        <f t="shared" si="5"/>
        <v>-15.573770491803279</v>
      </c>
      <c r="AT25" s="13">
        <f t="shared" si="6"/>
        <v>-27.122641509433965</v>
      </c>
      <c r="AU25" s="13">
        <f t="shared" si="7"/>
        <v>15.471698113207546</v>
      </c>
    </row>
    <row r="26" spans="2:47" ht="25.2" customHeight="1" x14ac:dyDescent="0.3">
      <c r="B26" s="11" t="s">
        <v>35</v>
      </c>
      <c r="C26" s="12">
        <v>4751</v>
      </c>
      <c r="D26" s="12">
        <v>4116</v>
      </c>
      <c r="E26" s="12">
        <v>4127</v>
      </c>
      <c r="F26" s="12">
        <v>4009</v>
      </c>
      <c r="G26" s="12">
        <v>4020</v>
      </c>
      <c r="H26" s="12">
        <v>4207</v>
      </c>
      <c r="I26" s="12">
        <v>5039</v>
      </c>
      <c r="J26" s="12">
        <v>3511</v>
      </c>
      <c r="K26" s="12">
        <v>3617</v>
      </c>
      <c r="L26" s="12">
        <v>4006</v>
      </c>
      <c r="M26" s="12">
        <v>3773</v>
      </c>
      <c r="N26" s="12">
        <v>5311</v>
      </c>
      <c r="O26" s="12">
        <v>50487</v>
      </c>
      <c r="P26" s="12">
        <f t="shared" si="0"/>
        <v>50487</v>
      </c>
      <c r="Q26" s="12">
        <v>5624</v>
      </c>
      <c r="R26" s="12">
        <v>4092</v>
      </c>
      <c r="S26" s="12">
        <v>3880</v>
      </c>
      <c r="T26" s="12">
        <v>5825</v>
      </c>
      <c r="U26" s="12">
        <v>3979</v>
      </c>
      <c r="V26" s="12">
        <v>4070</v>
      </c>
      <c r="W26" s="12">
        <v>5660</v>
      </c>
      <c r="X26" s="12">
        <v>3790</v>
      </c>
      <c r="Y26" s="12">
        <v>3735</v>
      </c>
      <c r="Z26" s="12">
        <v>4120</v>
      </c>
      <c r="AA26" s="12">
        <v>3881</v>
      </c>
      <c r="AB26" s="12">
        <v>4735</v>
      </c>
      <c r="AC26" s="12">
        <f t="shared" si="1"/>
        <v>53391</v>
      </c>
      <c r="AD26" s="12">
        <f t="shared" si="2"/>
        <v>36920</v>
      </c>
      <c r="AE26" s="12">
        <v>5055</v>
      </c>
      <c r="AF26" s="12">
        <v>3577</v>
      </c>
      <c r="AG26" s="12">
        <v>5537</v>
      </c>
      <c r="AH26" s="12">
        <v>3593</v>
      </c>
      <c r="AI26" s="12">
        <v>3606</v>
      </c>
      <c r="AJ26" s="12">
        <v>3697</v>
      </c>
      <c r="AK26" s="12">
        <v>4719</v>
      </c>
      <c r="AL26" s="12">
        <v>3338</v>
      </c>
      <c r="AM26" s="12"/>
      <c r="AN26" s="12"/>
      <c r="AO26" s="12"/>
      <c r="AP26" s="12"/>
      <c r="AQ26" s="12"/>
      <c r="AR26" s="12">
        <f t="shared" si="4"/>
        <v>33122</v>
      </c>
      <c r="AS26" s="13">
        <f t="shared" si="5"/>
        <v>-11.926121372031663</v>
      </c>
      <c r="AT26" s="13">
        <f t="shared" si="6"/>
        <v>-29.264674719220174</v>
      </c>
      <c r="AU26" s="13">
        <f t="shared" si="7"/>
        <v>-10.287107258938246</v>
      </c>
    </row>
    <row r="27" spans="2:47" ht="25.2" customHeight="1" x14ac:dyDescent="0.3">
      <c r="B27" s="11" t="s">
        <v>36</v>
      </c>
      <c r="C27" s="12">
        <v>9516</v>
      </c>
      <c r="D27" s="12">
        <v>9035</v>
      </c>
      <c r="E27" s="12">
        <v>9721</v>
      </c>
      <c r="F27" s="12">
        <v>9727</v>
      </c>
      <c r="G27" s="12">
        <v>9152</v>
      </c>
      <c r="H27" s="12">
        <v>9467</v>
      </c>
      <c r="I27" s="12">
        <v>8329</v>
      </c>
      <c r="J27" s="12">
        <v>8988</v>
      </c>
      <c r="K27" s="12">
        <v>8709</v>
      </c>
      <c r="L27" s="12">
        <v>9672</v>
      </c>
      <c r="M27" s="12">
        <v>9521</v>
      </c>
      <c r="N27" s="12">
        <v>11565</v>
      </c>
      <c r="O27" s="12">
        <v>113402</v>
      </c>
      <c r="P27" s="12">
        <f t="shared" si="0"/>
        <v>113402</v>
      </c>
      <c r="Q27" s="12">
        <v>11732</v>
      </c>
      <c r="R27" s="12">
        <v>9947</v>
      </c>
      <c r="S27" s="12">
        <v>12946</v>
      </c>
      <c r="T27" s="12">
        <v>6219</v>
      </c>
      <c r="U27" s="12">
        <v>11063</v>
      </c>
      <c r="V27" s="12">
        <v>10535</v>
      </c>
      <c r="W27" s="12">
        <v>12381</v>
      </c>
      <c r="X27" s="12">
        <v>9939</v>
      </c>
      <c r="Y27" s="12">
        <v>9530</v>
      </c>
      <c r="Z27" s="12">
        <v>10548</v>
      </c>
      <c r="AA27" s="12">
        <v>9701</v>
      </c>
      <c r="AB27" s="12">
        <v>11435</v>
      </c>
      <c r="AC27" s="12">
        <f t="shared" si="1"/>
        <v>125976</v>
      </c>
      <c r="AD27" s="12">
        <f t="shared" si="2"/>
        <v>84762</v>
      </c>
      <c r="AE27" s="12">
        <v>11802</v>
      </c>
      <c r="AF27" s="12">
        <v>10992</v>
      </c>
      <c r="AG27" s="12">
        <v>13037</v>
      </c>
      <c r="AH27" s="12">
        <v>8654</v>
      </c>
      <c r="AI27" s="12">
        <v>10298</v>
      </c>
      <c r="AJ27" s="12">
        <v>10433</v>
      </c>
      <c r="AK27" s="12">
        <v>12720</v>
      </c>
      <c r="AL27" s="12">
        <v>8639</v>
      </c>
      <c r="AM27" s="12"/>
      <c r="AN27" s="12"/>
      <c r="AO27" s="12"/>
      <c r="AP27" s="12"/>
      <c r="AQ27" s="12"/>
      <c r="AR27" s="12">
        <f t="shared" si="4"/>
        <v>86575</v>
      </c>
      <c r="AS27" s="13">
        <f t="shared" si="5"/>
        <v>-13.079786698863064</v>
      </c>
      <c r="AT27" s="13">
        <f t="shared" si="6"/>
        <v>-32.083333333333336</v>
      </c>
      <c r="AU27" s="13">
        <f t="shared" si="7"/>
        <v>2.1389301809773249</v>
      </c>
    </row>
    <row r="28" spans="2:47" ht="25.2" customHeight="1" x14ac:dyDescent="0.3">
      <c r="B28" s="11" t="s">
        <v>37</v>
      </c>
      <c r="C28" s="12">
        <v>10</v>
      </c>
      <c r="D28" s="12">
        <v>9</v>
      </c>
      <c r="E28" s="12">
        <v>28</v>
      </c>
      <c r="F28" s="12">
        <v>7</v>
      </c>
      <c r="G28" s="12">
        <v>1</v>
      </c>
      <c r="H28" s="12">
        <v>5</v>
      </c>
      <c r="I28" s="12">
        <v>0</v>
      </c>
      <c r="J28" s="12">
        <v>11</v>
      </c>
      <c r="K28" s="12">
        <v>0</v>
      </c>
      <c r="L28" s="12">
        <v>25</v>
      </c>
      <c r="M28" s="12">
        <v>0</v>
      </c>
      <c r="N28" s="12">
        <v>1</v>
      </c>
      <c r="O28" s="12">
        <v>97</v>
      </c>
      <c r="P28" s="12">
        <f t="shared" si="0"/>
        <v>97</v>
      </c>
      <c r="Q28" s="12">
        <v>17</v>
      </c>
      <c r="R28" s="12">
        <v>13</v>
      </c>
      <c r="S28" s="12">
        <v>42</v>
      </c>
      <c r="T28" s="12">
        <v>18</v>
      </c>
      <c r="U28" s="12">
        <v>0</v>
      </c>
      <c r="V28" s="12">
        <v>0</v>
      </c>
      <c r="W28" s="12">
        <v>3</v>
      </c>
      <c r="X28" s="12">
        <v>0</v>
      </c>
      <c r="Y28" s="12">
        <v>5</v>
      </c>
      <c r="Z28" s="12">
        <v>0</v>
      </c>
      <c r="AA28" s="12">
        <v>42</v>
      </c>
      <c r="AB28" s="12">
        <v>75</v>
      </c>
      <c r="AC28" s="12">
        <f t="shared" si="1"/>
        <v>215</v>
      </c>
      <c r="AD28" s="12">
        <f t="shared" si="2"/>
        <v>93</v>
      </c>
      <c r="AE28" s="12">
        <v>0</v>
      </c>
      <c r="AF28" s="12">
        <v>50</v>
      </c>
      <c r="AG28" s="12">
        <v>26</v>
      </c>
      <c r="AH28" s="12">
        <v>0</v>
      </c>
      <c r="AI28" s="12">
        <v>2</v>
      </c>
      <c r="AJ28" s="12"/>
      <c r="AK28" s="12">
        <v>0</v>
      </c>
      <c r="AL28" s="12" t="s">
        <v>55</v>
      </c>
      <c r="AM28" s="12"/>
      <c r="AN28" s="12"/>
      <c r="AO28" s="12"/>
      <c r="AP28" s="12"/>
      <c r="AQ28" s="12"/>
      <c r="AR28" s="12">
        <f t="shared" si="4"/>
        <v>78</v>
      </c>
      <c r="AS28" s="13" t="str">
        <f t="shared" si="5"/>
        <v>-</v>
      </c>
      <c r="AT28" s="13" t="str">
        <f t="shared" si="6"/>
        <v>-</v>
      </c>
      <c r="AU28" s="13">
        <f t="shared" si="7"/>
        <v>-16.129032258064516</v>
      </c>
    </row>
    <row r="29" spans="2:47" ht="25.2" customHeight="1" x14ac:dyDescent="0.3">
      <c r="B29" s="11" t="s">
        <v>31</v>
      </c>
      <c r="C29" s="12">
        <v>19321</v>
      </c>
      <c r="D29" s="12">
        <v>15046</v>
      </c>
      <c r="E29" s="12">
        <v>16863</v>
      </c>
      <c r="F29" s="12">
        <v>18743</v>
      </c>
      <c r="G29" s="12">
        <v>18053</v>
      </c>
      <c r="H29" s="12">
        <v>44241</v>
      </c>
      <c r="I29" s="12">
        <v>21773</v>
      </c>
      <c r="J29" s="12">
        <v>16351</v>
      </c>
      <c r="K29" s="12">
        <v>15998</v>
      </c>
      <c r="L29" s="12">
        <v>17129</v>
      </c>
      <c r="M29" s="12">
        <v>16574</v>
      </c>
      <c r="N29" s="12">
        <v>20534</v>
      </c>
      <c r="O29" s="12">
        <v>240626</v>
      </c>
      <c r="P29" s="12">
        <f t="shared" si="0"/>
        <v>240626</v>
      </c>
      <c r="Q29" s="12">
        <v>25778</v>
      </c>
      <c r="R29" s="12">
        <v>19356</v>
      </c>
      <c r="S29" s="12">
        <v>19800</v>
      </c>
      <c r="T29" s="12">
        <v>20951</v>
      </c>
      <c r="U29" s="12">
        <v>19844</v>
      </c>
      <c r="V29" s="12">
        <v>20318</v>
      </c>
      <c r="W29" s="12">
        <v>25034</v>
      </c>
      <c r="X29" s="12">
        <v>19028</v>
      </c>
      <c r="Y29" s="12">
        <v>19815</v>
      </c>
      <c r="Z29" s="12">
        <v>19541</v>
      </c>
      <c r="AA29" s="12">
        <v>19412</v>
      </c>
      <c r="AB29" s="12">
        <v>20915</v>
      </c>
      <c r="AC29" s="12">
        <f t="shared" si="1"/>
        <v>249792</v>
      </c>
      <c r="AD29" s="12">
        <f t="shared" si="2"/>
        <v>170109</v>
      </c>
      <c r="AE29" s="12">
        <v>25966</v>
      </c>
      <c r="AF29" s="12">
        <v>19561</v>
      </c>
      <c r="AG29" s="12">
        <v>23245</v>
      </c>
      <c r="AH29" s="12">
        <v>19398</v>
      </c>
      <c r="AI29" s="12">
        <v>21249</v>
      </c>
      <c r="AJ29" s="12">
        <v>22338</v>
      </c>
      <c r="AK29" s="12">
        <v>27995</v>
      </c>
      <c r="AL29" s="12">
        <v>23927</v>
      </c>
      <c r="AM29" s="12"/>
      <c r="AN29" s="12"/>
      <c r="AO29" s="12"/>
      <c r="AP29" s="12"/>
      <c r="AQ29" s="12"/>
      <c r="AR29" s="12">
        <f t="shared" si="4"/>
        <v>183679</v>
      </c>
      <c r="AS29" s="13">
        <f t="shared" si="5"/>
        <v>25.746268656716421</v>
      </c>
      <c r="AT29" s="13">
        <f t="shared" si="6"/>
        <v>-14.531166279692803</v>
      </c>
      <c r="AU29" s="13">
        <f t="shared" si="7"/>
        <v>7.9772381237912162</v>
      </c>
    </row>
    <row r="30" spans="2:47" ht="25.2" customHeight="1" x14ac:dyDescent="0.3">
      <c r="B30" s="8" t="s">
        <v>38</v>
      </c>
      <c r="C30" s="9">
        <v>40528</v>
      </c>
      <c r="D30" s="9">
        <v>30969</v>
      </c>
      <c r="E30" s="9">
        <v>29248</v>
      </c>
      <c r="F30" s="9">
        <v>35663</v>
      </c>
      <c r="G30" s="9">
        <v>32544</v>
      </c>
      <c r="H30" s="9">
        <v>35079</v>
      </c>
      <c r="I30" s="9">
        <v>38743</v>
      </c>
      <c r="J30" s="9">
        <v>30073</v>
      </c>
      <c r="K30" s="9">
        <v>27434</v>
      </c>
      <c r="L30" s="9">
        <v>29692</v>
      </c>
      <c r="M30" s="9">
        <v>30822</v>
      </c>
      <c r="N30" s="9">
        <v>43969</v>
      </c>
      <c r="O30" s="9">
        <v>404697</v>
      </c>
      <c r="P30" s="9">
        <v>404697</v>
      </c>
      <c r="Q30" s="9">
        <v>47895</v>
      </c>
      <c r="R30" s="9">
        <v>28654</v>
      </c>
      <c r="S30" s="9">
        <v>28270</v>
      </c>
      <c r="T30" s="9">
        <v>41352</v>
      </c>
      <c r="U30" s="9">
        <v>32539</v>
      </c>
      <c r="V30" s="9">
        <v>38050</v>
      </c>
      <c r="W30" s="9">
        <v>45573</v>
      </c>
      <c r="X30" s="9">
        <v>33104</v>
      </c>
      <c r="Y30" s="9">
        <v>32387</v>
      </c>
      <c r="Z30" s="9">
        <v>28291</v>
      </c>
      <c r="AA30" s="9">
        <v>28600</v>
      </c>
      <c r="AB30" s="9">
        <v>40079</v>
      </c>
      <c r="AC30" s="9">
        <f t="shared" si="1"/>
        <v>424794</v>
      </c>
      <c r="AD30" s="9">
        <f t="shared" si="2"/>
        <v>295437</v>
      </c>
      <c r="AE30" s="9">
        <v>40405</v>
      </c>
      <c r="AF30" s="9">
        <v>28358</v>
      </c>
      <c r="AG30" s="9">
        <f>SUM(AG31:AG36)</f>
        <v>35316</v>
      </c>
      <c r="AH30" s="9">
        <v>28166</v>
      </c>
      <c r="AI30" s="9">
        <v>32276</v>
      </c>
      <c r="AJ30" s="9">
        <f>SUM(AJ31:AJ36)</f>
        <v>35159</v>
      </c>
      <c r="AK30" s="9">
        <f>SUM(AK31:AK36)</f>
        <v>42713</v>
      </c>
      <c r="AL30" s="9">
        <f>SUM(AL31:AL36)</f>
        <v>34838</v>
      </c>
      <c r="AM30" s="9"/>
      <c r="AN30" s="9"/>
      <c r="AO30" s="9"/>
      <c r="AP30" s="9"/>
      <c r="AQ30" s="9"/>
      <c r="AR30" s="9">
        <f t="shared" si="4"/>
        <v>277231</v>
      </c>
      <c r="AS30" s="10">
        <f t="shared" si="5"/>
        <v>5.2380376993716764</v>
      </c>
      <c r="AT30" s="10">
        <f t="shared" si="6"/>
        <v>-18.43700980965982</v>
      </c>
      <c r="AU30" s="10">
        <f t="shared" si="7"/>
        <v>-6.1623967207898813</v>
      </c>
    </row>
    <row r="31" spans="2:47" ht="25.2" customHeight="1" x14ac:dyDescent="0.3">
      <c r="B31" s="11" t="s">
        <v>39</v>
      </c>
      <c r="C31" s="12">
        <v>537</v>
      </c>
      <c r="D31" s="12">
        <v>326</v>
      </c>
      <c r="E31" s="12">
        <v>393</v>
      </c>
      <c r="F31" s="12">
        <v>404</v>
      </c>
      <c r="G31" s="12">
        <v>530</v>
      </c>
      <c r="H31" s="12">
        <v>595</v>
      </c>
      <c r="I31" s="12">
        <v>505</v>
      </c>
      <c r="J31" s="12">
        <v>563</v>
      </c>
      <c r="K31" s="12">
        <v>1476</v>
      </c>
      <c r="L31" s="12">
        <v>708</v>
      </c>
      <c r="M31" s="12">
        <v>495</v>
      </c>
      <c r="N31" s="12">
        <v>702</v>
      </c>
      <c r="O31" s="12">
        <v>7234</v>
      </c>
      <c r="P31" s="12">
        <f t="shared" si="0"/>
        <v>7234</v>
      </c>
      <c r="Q31" s="12">
        <v>433</v>
      </c>
      <c r="R31" s="12">
        <v>321</v>
      </c>
      <c r="S31" s="12">
        <v>240</v>
      </c>
      <c r="T31" s="12">
        <v>321</v>
      </c>
      <c r="U31" s="12">
        <v>320</v>
      </c>
      <c r="V31" s="12">
        <v>305</v>
      </c>
      <c r="W31" s="12">
        <v>418</v>
      </c>
      <c r="X31" s="12">
        <v>293</v>
      </c>
      <c r="Y31" s="12">
        <v>366</v>
      </c>
      <c r="Z31" s="12">
        <v>341</v>
      </c>
      <c r="AA31" s="12">
        <v>348</v>
      </c>
      <c r="AB31" s="12">
        <v>491</v>
      </c>
      <c r="AC31" s="12">
        <f t="shared" si="1"/>
        <v>4197</v>
      </c>
      <c r="AD31" s="12">
        <f t="shared" si="2"/>
        <v>2651</v>
      </c>
      <c r="AE31" s="12">
        <v>252</v>
      </c>
      <c r="AF31" s="12">
        <v>251</v>
      </c>
      <c r="AG31" s="12">
        <v>279</v>
      </c>
      <c r="AH31" s="12">
        <v>296</v>
      </c>
      <c r="AI31" s="12">
        <v>311</v>
      </c>
      <c r="AJ31" s="12">
        <v>240</v>
      </c>
      <c r="AK31" s="12">
        <v>244</v>
      </c>
      <c r="AL31" s="12">
        <v>342</v>
      </c>
      <c r="AM31" s="12"/>
      <c r="AN31" s="12"/>
      <c r="AO31" s="12"/>
      <c r="AP31" s="12"/>
      <c r="AQ31" s="12"/>
      <c r="AR31" s="12">
        <f t="shared" si="4"/>
        <v>2215</v>
      </c>
      <c r="AS31" s="13">
        <f t="shared" si="5"/>
        <v>16.723549488054605</v>
      </c>
      <c r="AT31" s="13">
        <f t="shared" si="6"/>
        <v>40.16393442622951</v>
      </c>
      <c r="AU31" s="13">
        <f t="shared" si="7"/>
        <v>-16.446623915503583</v>
      </c>
    </row>
    <row r="32" spans="2:47" ht="25.2" customHeight="1" x14ac:dyDescent="0.3">
      <c r="B32" s="11" t="s">
        <v>40</v>
      </c>
      <c r="C32" s="12">
        <v>5741</v>
      </c>
      <c r="D32" s="12">
        <v>4238</v>
      </c>
      <c r="E32" s="12">
        <v>4705</v>
      </c>
      <c r="F32" s="12">
        <v>4738</v>
      </c>
      <c r="G32" s="12">
        <v>4944</v>
      </c>
      <c r="H32" s="12">
        <v>5454</v>
      </c>
      <c r="I32" s="12">
        <v>4651</v>
      </c>
      <c r="J32" s="12">
        <v>5118</v>
      </c>
      <c r="K32" s="12">
        <v>2924</v>
      </c>
      <c r="L32" s="12">
        <v>5848</v>
      </c>
      <c r="M32" s="12">
        <v>6688</v>
      </c>
      <c r="N32" s="12">
        <v>6677</v>
      </c>
      <c r="O32" s="12">
        <v>61726</v>
      </c>
      <c r="P32" s="12">
        <f t="shared" si="0"/>
        <v>61726</v>
      </c>
      <c r="Q32" s="12">
        <v>6372</v>
      </c>
      <c r="R32" s="12">
        <v>4496</v>
      </c>
      <c r="S32" s="12">
        <v>5602</v>
      </c>
      <c r="T32" s="12">
        <v>5958</v>
      </c>
      <c r="U32" s="12">
        <v>6037</v>
      </c>
      <c r="V32" s="12">
        <v>6341</v>
      </c>
      <c r="W32" s="12">
        <v>8330</v>
      </c>
      <c r="X32" s="12">
        <v>8371</v>
      </c>
      <c r="Y32" s="12">
        <v>8146</v>
      </c>
      <c r="Z32" s="12">
        <v>8395</v>
      </c>
      <c r="AA32" s="12">
        <v>8163</v>
      </c>
      <c r="AB32" s="12">
        <v>8369</v>
      </c>
      <c r="AC32" s="12">
        <f t="shared" si="1"/>
        <v>84580</v>
      </c>
      <c r="AD32" s="12">
        <f t="shared" si="2"/>
        <v>51507</v>
      </c>
      <c r="AE32" s="12">
        <v>7559</v>
      </c>
      <c r="AF32" s="12">
        <v>5982</v>
      </c>
      <c r="AG32" s="12">
        <v>7230</v>
      </c>
      <c r="AH32" s="12">
        <v>6148</v>
      </c>
      <c r="AI32" s="12">
        <v>7045</v>
      </c>
      <c r="AJ32" s="12">
        <v>7453</v>
      </c>
      <c r="AK32" s="12">
        <v>10111</v>
      </c>
      <c r="AL32" s="12">
        <v>9497</v>
      </c>
      <c r="AM32" s="12"/>
      <c r="AN32" s="12"/>
      <c r="AO32" s="12"/>
      <c r="AP32" s="12"/>
      <c r="AQ32" s="12"/>
      <c r="AR32" s="12">
        <f t="shared" si="4"/>
        <v>61025</v>
      </c>
      <c r="AS32" s="13">
        <f t="shared" si="5"/>
        <v>13.451200573408196</v>
      </c>
      <c r="AT32" s="13">
        <f t="shared" si="6"/>
        <v>-6.0725942043319154</v>
      </c>
      <c r="AU32" s="13">
        <f t="shared" si="7"/>
        <v>18.47904168365465</v>
      </c>
    </row>
    <row r="33" spans="2:47" ht="25.2" customHeight="1" x14ac:dyDescent="0.3">
      <c r="B33" s="11" t="s">
        <v>41</v>
      </c>
      <c r="C33" s="12">
        <v>21550</v>
      </c>
      <c r="D33" s="12">
        <v>15747</v>
      </c>
      <c r="E33" s="12">
        <v>14189</v>
      </c>
      <c r="F33" s="12">
        <v>21740</v>
      </c>
      <c r="G33" s="12">
        <v>16759</v>
      </c>
      <c r="H33" s="12">
        <v>16713</v>
      </c>
      <c r="I33" s="12">
        <v>20819</v>
      </c>
      <c r="J33" s="12">
        <v>14710</v>
      </c>
      <c r="K33" s="12">
        <v>14245</v>
      </c>
      <c r="L33" s="12">
        <v>13768</v>
      </c>
      <c r="M33" s="12">
        <v>13711</v>
      </c>
      <c r="N33" s="12">
        <v>23349</v>
      </c>
      <c r="O33" s="12">
        <v>207300</v>
      </c>
      <c r="P33" s="12">
        <f t="shared" si="0"/>
        <v>207300</v>
      </c>
      <c r="Q33" s="12">
        <v>25639</v>
      </c>
      <c r="R33" s="12">
        <v>14062</v>
      </c>
      <c r="S33" s="12">
        <v>12375</v>
      </c>
      <c r="T33" s="12">
        <v>23449</v>
      </c>
      <c r="U33" s="12">
        <v>15986</v>
      </c>
      <c r="V33" s="12">
        <v>20243</v>
      </c>
      <c r="W33" s="12">
        <v>23413</v>
      </c>
      <c r="X33" s="12">
        <v>14562</v>
      </c>
      <c r="Y33" s="12">
        <v>14517</v>
      </c>
      <c r="Z33" s="12">
        <v>11026</v>
      </c>
      <c r="AA33" s="12">
        <v>10520</v>
      </c>
      <c r="AB33" s="12">
        <v>18472</v>
      </c>
      <c r="AC33" s="12">
        <f t="shared" si="1"/>
        <v>204264</v>
      </c>
      <c r="AD33" s="12">
        <f t="shared" si="2"/>
        <v>149729</v>
      </c>
      <c r="AE33" s="12">
        <v>18511</v>
      </c>
      <c r="AF33" s="12">
        <v>12254</v>
      </c>
      <c r="AG33" s="12">
        <v>15427</v>
      </c>
      <c r="AH33" s="12">
        <v>11285</v>
      </c>
      <c r="AI33" s="12">
        <v>13335</v>
      </c>
      <c r="AJ33" s="12">
        <v>15502</v>
      </c>
      <c r="AK33" s="12">
        <v>17412</v>
      </c>
      <c r="AL33" s="12">
        <v>13405</v>
      </c>
      <c r="AM33" s="12"/>
      <c r="AN33" s="12"/>
      <c r="AO33" s="12"/>
      <c r="AP33" s="12"/>
      <c r="AQ33" s="12"/>
      <c r="AR33" s="12">
        <f t="shared" si="4"/>
        <v>117131</v>
      </c>
      <c r="AS33" s="13">
        <f t="shared" si="5"/>
        <v>-7.9453371789589351</v>
      </c>
      <c r="AT33" s="13">
        <f t="shared" si="6"/>
        <v>-23.01286469101769</v>
      </c>
      <c r="AU33" s="13">
        <f t="shared" si="7"/>
        <v>-21.771333542600299</v>
      </c>
    </row>
    <row r="34" spans="2:47" ht="25.2" customHeight="1" x14ac:dyDescent="0.3">
      <c r="B34" s="11" t="s">
        <v>42</v>
      </c>
      <c r="C34" s="12">
        <v>9194</v>
      </c>
      <c r="D34" s="12">
        <v>7020</v>
      </c>
      <c r="E34" s="12">
        <v>6794</v>
      </c>
      <c r="F34" s="12">
        <v>6031</v>
      </c>
      <c r="G34" s="12">
        <v>6493</v>
      </c>
      <c r="H34" s="12">
        <v>8354</v>
      </c>
      <c r="I34" s="12">
        <v>8910</v>
      </c>
      <c r="J34" s="12">
        <v>7245</v>
      </c>
      <c r="K34" s="12">
        <v>5773</v>
      </c>
      <c r="L34" s="12">
        <v>6035</v>
      </c>
      <c r="M34" s="12">
        <v>6363</v>
      </c>
      <c r="N34" s="12">
        <v>8584</v>
      </c>
      <c r="O34" s="12">
        <v>86796</v>
      </c>
      <c r="P34" s="12">
        <f t="shared" si="0"/>
        <v>86796</v>
      </c>
      <c r="Q34" s="12">
        <v>12047</v>
      </c>
      <c r="R34" s="12">
        <v>7366</v>
      </c>
      <c r="S34" s="12">
        <v>7487</v>
      </c>
      <c r="T34" s="12">
        <v>8670</v>
      </c>
      <c r="U34" s="12">
        <v>6811</v>
      </c>
      <c r="V34" s="12">
        <v>8343</v>
      </c>
      <c r="W34" s="12">
        <v>10607</v>
      </c>
      <c r="X34" s="12">
        <v>7353</v>
      </c>
      <c r="Y34" s="12">
        <v>6696</v>
      </c>
      <c r="Z34" s="12">
        <v>6088</v>
      </c>
      <c r="AA34" s="12">
        <v>6827</v>
      </c>
      <c r="AB34" s="12">
        <v>8412</v>
      </c>
      <c r="AC34" s="12">
        <f t="shared" si="1"/>
        <v>96707</v>
      </c>
      <c r="AD34" s="12">
        <f t="shared" si="2"/>
        <v>68684</v>
      </c>
      <c r="AE34" s="12">
        <v>10362</v>
      </c>
      <c r="AF34" s="12">
        <v>6581</v>
      </c>
      <c r="AG34" s="12">
        <v>8462</v>
      </c>
      <c r="AH34" s="12">
        <v>6618</v>
      </c>
      <c r="AI34" s="12">
        <v>7241</v>
      </c>
      <c r="AJ34" s="12">
        <v>7475</v>
      </c>
      <c r="AK34" s="12">
        <v>9906</v>
      </c>
      <c r="AL34" s="12">
        <v>6744</v>
      </c>
      <c r="AM34" s="12"/>
      <c r="AN34" s="12"/>
      <c r="AO34" s="12"/>
      <c r="AP34" s="12"/>
      <c r="AQ34" s="12"/>
      <c r="AR34" s="12">
        <f t="shared" si="4"/>
        <v>63389</v>
      </c>
      <c r="AS34" s="13">
        <f t="shared" si="5"/>
        <v>-8.2823337413300688</v>
      </c>
      <c r="AT34" s="13">
        <f t="shared" si="6"/>
        <v>-31.920048455481524</v>
      </c>
      <c r="AU34" s="13">
        <f t="shared" si="7"/>
        <v>-7.7092190320889875</v>
      </c>
    </row>
    <row r="35" spans="2:47" ht="25.2" customHeight="1" x14ac:dyDescent="0.3">
      <c r="B35" s="11" t="s">
        <v>43</v>
      </c>
      <c r="C35" s="12">
        <v>2265</v>
      </c>
      <c r="D35" s="12">
        <v>2255</v>
      </c>
      <c r="E35" s="12">
        <v>1876</v>
      </c>
      <c r="F35" s="12">
        <v>1295</v>
      </c>
      <c r="G35" s="12">
        <v>2035</v>
      </c>
      <c r="H35" s="12">
        <v>2214</v>
      </c>
      <c r="I35" s="12">
        <v>2243</v>
      </c>
      <c r="J35" s="12">
        <v>1916</v>
      </c>
      <c r="K35" s="12">
        <v>2405</v>
      </c>
      <c r="L35" s="12">
        <v>2654</v>
      </c>
      <c r="M35" s="12">
        <v>2769</v>
      </c>
      <c r="N35" s="12">
        <v>3316</v>
      </c>
      <c r="O35" s="12">
        <v>27243</v>
      </c>
      <c r="P35" s="12">
        <f t="shared" si="0"/>
        <v>27243</v>
      </c>
      <c r="Q35" s="12">
        <v>2812</v>
      </c>
      <c r="R35" s="12">
        <v>1693</v>
      </c>
      <c r="S35" s="12">
        <v>1886</v>
      </c>
      <c r="T35" s="12">
        <v>2222</v>
      </c>
      <c r="U35" s="12">
        <v>2512</v>
      </c>
      <c r="V35" s="12">
        <v>1969</v>
      </c>
      <c r="W35" s="12">
        <v>1936</v>
      </c>
      <c r="X35" s="12">
        <v>1584</v>
      </c>
      <c r="Y35" s="12">
        <v>1768</v>
      </c>
      <c r="Z35" s="12">
        <v>1567</v>
      </c>
      <c r="AA35" s="12">
        <v>1710</v>
      </c>
      <c r="AB35" s="12">
        <v>2294</v>
      </c>
      <c r="AC35" s="12">
        <f t="shared" si="1"/>
        <v>23953</v>
      </c>
      <c r="AD35" s="12">
        <f t="shared" si="2"/>
        <v>16614</v>
      </c>
      <c r="AE35" s="12">
        <v>2023</v>
      </c>
      <c r="AF35" s="12">
        <v>1524</v>
      </c>
      <c r="AG35" s="12">
        <v>1826</v>
      </c>
      <c r="AH35" s="12">
        <v>1506</v>
      </c>
      <c r="AI35" s="12">
        <v>2033</v>
      </c>
      <c r="AJ35" s="12">
        <v>2191</v>
      </c>
      <c r="AK35" s="12">
        <v>2556</v>
      </c>
      <c r="AL35" s="12">
        <v>2264</v>
      </c>
      <c r="AM35" s="12"/>
      <c r="AN35" s="12"/>
      <c r="AO35" s="12"/>
      <c r="AP35" s="12"/>
      <c r="AQ35" s="12"/>
      <c r="AR35" s="12">
        <f t="shared" si="4"/>
        <v>15923</v>
      </c>
      <c r="AS35" s="13">
        <f t="shared" si="5"/>
        <v>42.929292929292927</v>
      </c>
      <c r="AT35" s="13">
        <f t="shared" si="6"/>
        <v>-11.424100156494523</v>
      </c>
      <c r="AU35" s="13">
        <f>IF(AD35=0,"-",((AR35-AD35)/AD35*100))</f>
        <v>-4.1591428915372575</v>
      </c>
    </row>
    <row r="36" spans="2:47" ht="25.2" customHeight="1" x14ac:dyDescent="0.3">
      <c r="B36" s="11" t="s">
        <v>31</v>
      </c>
      <c r="C36" s="12">
        <v>1241</v>
      </c>
      <c r="D36" s="12">
        <v>1383</v>
      </c>
      <c r="E36" s="12">
        <v>1291</v>
      </c>
      <c r="F36" s="12">
        <v>1455</v>
      </c>
      <c r="G36" s="12">
        <v>1783</v>
      </c>
      <c r="H36" s="12">
        <v>1749</v>
      </c>
      <c r="I36" s="12">
        <v>1615</v>
      </c>
      <c r="J36" s="12">
        <v>521</v>
      </c>
      <c r="K36" s="12">
        <v>611</v>
      </c>
      <c r="L36" s="12">
        <v>679</v>
      </c>
      <c r="M36" s="12">
        <v>796</v>
      </c>
      <c r="N36" s="12">
        <v>1341</v>
      </c>
      <c r="O36" s="12">
        <v>14398</v>
      </c>
      <c r="P36" s="12">
        <v>14398</v>
      </c>
      <c r="Q36" s="12">
        <v>592</v>
      </c>
      <c r="R36" s="12">
        <v>716</v>
      </c>
      <c r="S36" s="12">
        <v>680</v>
      </c>
      <c r="T36" s="12">
        <v>732</v>
      </c>
      <c r="U36" s="12">
        <v>873</v>
      </c>
      <c r="V36" s="12">
        <v>849</v>
      </c>
      <c r="W36" s="12">
        <v>869</v>
      </c>
      <c r="X36" s="12">
        <v>941</v>
      </c>
      <c r="Y36" s="12">
        <v>894</v>
      </c>
      <c r="Z36" s="12">
        <v>874</v>
      </c>
      <c r="AA36" s="12">
        <v>1032</v>
      </c>
      <c r="AB36" s="12">
        <v>2041</v>
      </c>
      <c r="AC36" s="12">
        <f t="shared" si="1"/>
        <v>11093</v>
      </c>
      <c r="AD36" s="12">
        <f t="shared" si="2"/>
        <v>6252</v>
      </c>
      <c r="AE36" s="12">
        <v>1698</v>
      </c>
      <c r="AF36" s="12">
        <v>1766</v>
      </c>
      <c r="AG36" s="12">
        <v>2092</v>
      </c>
      <c r="AH36" s="12">
        <v>2313</v>
      </c>
      <c r="AI36" s="12">
        <v>2311</v>
      </c>
      <c r="AJ36" s="12">
        <v>2298</v>
      </c>
      <c r="AK36" s="12">
        <v>2484</v>
      </c>
      <c r="AL36" s="12">
        <v>2586</v>
      </c>
      <c r="AM36" s="12"/>
      <c r="AN36" s="12"/>
      <c r="AO36" s="12"/>
      <c r="AP36" s="12"/>
      <c r="AQ36" s="12"/>
      <c r="AR36" s="12">
        <f t="shared" si="4"/>
        <v>17548</v>
      </c>
      <c r="AS36" s="13">
        <f t="shared" si="5"/>
        <v>174.81402763018065</v>
      </c>
      <c r="AT36" s="13">
        <f t="shared" si="6"/>
        <v>4.1062801932367154</v>
      </c>
      <c r="AU36" s="13">
        <f>IF(AD36=0,"-",((AR36-AD36)/AD36*100))</f>
        <v>180.67818298144593</v>
      </c>
    </row>
    <row r="37" spans="2:47" ht="25.2" customHeight="1" x14ac:dyDescent="0.3">
      <c r="B37" s="14" t="s">
        <v>44</v>
      </c>
      <c r="C37" s="15">
        <v>9848</v>
      </c>
      <c r="D37" s="15">
        <v>10470</v>
      </c>
      <c r="E37" s="15">
        <v>10691</v>
      </c>
      <c r="F37" s="15">
        <v>9728</v>
      </c>
      <c r="G37" s="15">
        <v>17756</v>
      </c>
      <c r="H37" s="15">
        <v>12883</v>
      </c>
      <c r="I37" s="15">
        <v>36175</v>
      </c>
      <c r="J37" s="15">
        <v>13014</v>
      </c>
      <c r="K37" s="15">
        <v>18443</v>
      </c>
      <c r="L37" s="15">
        <v>14193</v>
      </c>
      <c r="M37" s="15">
        <v>7816</v>
      </c>
      <c r="N37" s="15">
        <v>9729</v>
      </c>
      <c r="O37" s="15">
        <v>170813</v>
      </c>
      <c r="P37" s="15">
        <v>170813</v>
      </c>
      <c r="Q37" s="15">
        <v>9419</v>
      </c>
      <c r="R37" s="15">
        <v>5419</v>
      </c>
      <c r="S37" s="15">
        <v>2382</v>
      </c>
      <c r="T37" s="15">
        <v>804</v>
      </c>
      <c r="U37" s="15">
        <v>1903</v>
      </c>
      <c r="V37" s="15">
        <v>4192</v>
      </c>
      <c r="W37" s="15">
        <v>2058</v>
      </c>
      <c r="X37" s="15">
        <v>5764</v>
      </c>
      <c r="Y37" s="15">
        <v>3655</v>
      </c>
      <c r="Z37" s="15">
        <v>8833</v>
      </c>
      <c r="AA37" s="15">
        <v>11117</v>
      </c>
      <c r="AB37" s="15">
        <v>3484</v>
      </c>
      <c r="AC37" s="15">
        <f t="shared" si="1"/>
        <v>59030</v>
      </c>
      <c r="AD37" s="15">
        <f t="shared" si="2"/>
        <v>31941</v>
      </c>
      <c r="AE37" s="15">
        <v>6346</v>
      </c>
      <c r="AF37" s="15">
        <v>6531</v>
      </c>
      <c r="AG37" s="15">
        <f>SUM(AG38:AG39)</f>
        <v>5484</v>
      </c>
      <c r="AH37" s="15">
        <f>SUM(AH38:AH39)</f>
        <v>4154</v>
      </c>
      <c r="AI37" s="15">
        <v>3338</v>
      </c>
      <c r="AJ37" s="15">
        <f>SUM(AJ38:AJ39)</f>
        <v>655</v>
      </c>
      <c r="AK37" s="15">
        <f>SUM(AK38:AK39)</f>
        <v>1290</v>
      </c>
      <c r="AL37" s="15">
        <f>SUM(AL38:AL39)</f>
        <v>1658</v>
      </c>
      <c r="AM37" s="15"/>
      <c r="AN37" s="15"/>
      <c r="AO37" s="15"/>
      <c r="AP37" s="15"/>
      <c r="AQ37" s="15"/>
      <c r="AR37" s="15">
        <f t="shared" si="4"/>
        <v>29456</v>
      </c>
      <c r="AS37" s="16">
        <f t="shared" si="5"/>
        <v>-71.235253296322</v>
      </c>
      <c r="AT37" s="16">
        <f t="shared" si="6"/>
        <v>28.527131782945737</v>
      </c>
      <c r="AU37" s="16">
        <f>IF(AD37=0,"-",((AR37-AD37)/AD37*100))</f>
        <v>-7.7799693184308572</v>
      </c>
    </row>
    <row r="38" spans="2:47" ht="25.2" customHeight="1" x14ac:dyDescent="0.3">
      <c r="B38" s="17" t="s">
        <v>45</v>
      </c>
      <c r="C38" s="12">
        <v>125</v>
      </c>
      <c r="D38" s="12">
        <v>733</v>
      </c>
      <c r="E38" s="12">
        <v>477</v>
      </c>
      <c r="F38" s="12">
        <v>368</v>
      </c>
      <c r="G38" s="12">
        <v>809</v>
      </c>
      <c r="H38" s="12">
        <v>146</v>
      </c>
      <c r="I38" s="12">
        <v>15214</v>
      </c>
      <c r="J38" s="12">
        <v>350</v>
      </c>
      <c r="K38" s="12">
        <v>794</v>
      </c>
      <c r="L38" s="12">
        <v>572</v>
      </c>
      <c r="M38" s="12">
        <v>88</v>
      </c>
      <c r="N38" s="12">
        <v>1360</v>
      </c>
      <c r="O38" s="12">
        <v>21036</v>
      </c>
      <c r="P38" s="12">
        <f t="shared" si="0"/>
        <v>21036</v>
      </c>
      <c r="Q38" s="12">
        <v>104</v>
      </c>
      <c r="R38" s="12">
        <v>106</v>
      </c>
      <c r="S38" s="12">
        <v>87</v>
      </c>
      <c r="T38" s="12">
        <v>102</v>
      </c>
      <c r="U38" s="12">
        <v>112</v>
      </c>
      <c r="V38" s="12">
        <v>103</v>
      </c>
      <c r="W38" s="12">
        <v>76</v>
      </c>
      <c r="X38" s="12">
        <v>77</v>
      </c>
      <c r="Y38" s="12">
        <v>60</v>
      </c>
      <c r="Z38" s="12">
        <v>79</v>
      </c>
      <c r="AA38" s="12">
        <v>232</v>
      </c>
      <c r="AB38" s="12">
        <v>140</v>
      </c>
      <c r="AC38" s="12">
        <f t="shared" si="1"/>
        <v>1278</v>
      </c>
      <c r="AD38" s="12">
        <f t="shared" si="2"/>
        <v>767</v>
      </c>
      <c r="AE38" s="12">
        <v>97</v>
      </c>
      <c r="AF38" s="12">
        <v>82</v>
      </c>
      <c r="AG38" s="12">
        <v>91</v>
      </c>
      <c r="AH38" s="12">
        <v>110</v>
      </c>
      <c r="AI38" s="12">
        <v>109</v>
      </c>
      <c r="AJ38" s="12">
        <v>73</v>
      </c>
      <c r="AK38" s="12">
        <v>68</v>
      </c>
      <c r="AL38" s="12">
        <v>1436</v>
      </c>
      <c r="AM38" s="12"/>
      <c r="AN38" s="12"/>
      <c r="AO38" s="12"/>
      <c r="AP38" s="12"/>
      <c r="AQ38" s="12"/>
      <c r="AR38" s="12">
        <f t="shared" si="4"/>
        <v>2066</v>
      </c>
      <c r="AS38" s="13">
        <f t="shared" si="5"/>
        <v>1764.9350649350647</v>
      </c>
      <c r="AT38" s="13">
        <f t="shared" si="6"/>
        <v>2011.7647058823529</v>
      </c>
      <c r="AU38" s="13">
        <f t="shared" si="7"/>
        <v>169.36114732724903</v>
      </c>
    </row>
    <row r="39" spans="2:47" ht="25.2" customHeight="1" x14ac:dyDescent="0.3">
      <c r="B39" s="17" t="s">
        <v>46</v>
      </c>
      <c r="C39" s="12">
        <v>9723</v>
      </c>
      <c r="D39" s="12">
        <v>9737</v>
      </c>
      <c r="E39" s="12">
        <v>10214</v>
      </c>
      <c r="F39" s="12">
        <v>9360</v>
      </c>
      <c r="G39" s="12">
        <v>16947</v>
      </c>
      <c r="H39" s="12">
        <v>12737</v>
      </c>
      <c r="I39" s="12">
        <v>20961</v>
      </c>
      <c r="J39" s="12">
        <v>12664</v>
      </c>
      <c r="K39" s="12">
        <v>17649</v>
      </c>
      <c r="L39" s="12">
        <v>13621</v>
      </c>
      <c r="M39" s="12">
        <v>7728</v>
      </c>
      <c r="N39" s="12">
        <v>8369</v>
      </c>
      <c r="O39" s="12">
        <v>149777</v>
      </c>
      <c r="P39" s="12">
        <f t="shared" si="0"/>
        <v>149710</v>
      </c>
      <c r="Q39" s="12">
        <v>9315</v>
      </c>
      <c r="R39" s="12">
        <v>5313</v>
      </c>
      <c r="S39" s="12">
        <v>2295</v>
      </c>
      <c r="T39" s="12">
        <v>702</v>
      </c>
      <c r="U39" s="12">
        <v>1791</v>
      </c>
      <c r="V39" s="12">
        <v>4089</v>
      </c>
      <c r="W39" s="12">
        <v>1982</v>
      </c>
      <c r="X39" s="12">
        <v>5687</v>
      </c>
      <c r="Y39" s="12">
        <v>3595</v>
      </c>
      <c r="Z39" s="12">
        <v>8754</v>
      </c>
      <c r="AA39" s="12">
        <v>10885</v>
      </c>
      <c r="AB39" s="12">
        <v>3344</v>
      </c>
      <c r="AC39" s="12">
        <f t="shared" si="1"/>
        <v>57752</v>
      </c>
      <c r="AD39" s="12">
        <f t="shared" si="2"/>
        <v>31174</v>
      </c>
      <c r="AE39" s="12">
        <v>6249</v>
      </c>
      <c r="AF39" s="12">
        <v>6449</v>
      </c>
      <c r="AG39" s="12">
        <v>5393</v>
      </c>
      <c r="AH39" s="12">
        <v>4044</v>
      </c>
      <c r="AI39" s="12">
        <v>3229</v>
      </c>
      <c r="AJ39" s="12">
        <v>582</v>
      </c>
      <c r="AK39" s="12">
        <v>1222</v>
      </c>
      <c r="AL39" s="12">
        <v>222</v>
      </c>
      <c r="AM39" s="12"/>
      <c r="AN39" s="12"/>
      <c r="AO39" s="12"/>
      <c r="AP39" s="12"/>
      <c r="AQ39" s="12"/>
      <c r="AR39" s="12">
        <f t="shared" si="4"/>
        <v>27390</v>
      </c>
      <c r="AS39" s="13">
        <f t="shared" si="5"/>
        <v>-96.09636011957096</v>
      </c>
      <c r="AT39" s="13">
        <f t="shared" si="6"/>
        <v>-81.833060556464815</v>
      </c>
      <c r="AU39" s="13">
        <f>IF(AD39=0,"-",((AR39-AD39)/AD39*100))</f>
        <v>-12.138320395201131</v>
      </c>
    </row>
    <row r="40" spans="2:47" ht="25.2" customHeight="1" x14ac:dyDescent="0.3">
      <c r="B40" s="18" t="s">
        <v>51</v>
      </c>
      <c r="C40" s="19">
        <v>835622</v>
      </c>
      <c r="D40" s="19">
        <v>660145</v>
      </c>
      <c r="E40" s="19">
        <v>692269</v>
      </c>
      <c r="F40" s="19">
        <v>756317</v>
      </c>
      <c r="G40" s="19">
        <v>626668</v>
      </c>
      <c r="H40" s="19">
        <v>856193</v>
      </c>
      <c r="I40" s="19">
        <v>918051</v>
      </c>
      <c r="J40" s="19">
        <v>648577</v>
      </c>
      <c r="K40" s="19">
        <v>661191</v>
      </c>
      <c r="L40" s="19">
        <v>731264</v>
      </c>
      <c r="M40" s="19">
        <v>750059</v>
      </c>
      <c r="N40" s="19">
        <v>810438</v>
      </c>
      <c r="O40" s="19">
        <v>8946794</v>
      </c>
      <c r="P40" s="19">
        <f t="shared" si="0"/>
        <v>8946794</v>
      </c>
      <c r="Q40" s="19">
        <v>990107</v>
      </c>
      <c r="R40" s="19">
        <v>759067</v>
      </c>
      <c r="S40" s="19">
        <v>582078</v>
      </c>
      <c r="T40" s="19">
        <v>926599</v>
      </c>
      <c r="U40" s="19">
        <v>585800</v>
      </c>
      <c r="V40" s="19">
        <v>727558</v>
      </c>
      <c r="W40" s="19">
        <v>869927</v>
      </c>
      <c r="X40" s="19">
        <v>684934</v>
      </c>
      <c r="Y40" s="19">
        <v>695908</v>
      </c>
      <c r="Z40" s="19">
        <v>725415</v>
      </c>
      <c r="AA40" s="19">
        <v>794733</v>
      </c>
      <c r="AB40" s="19">
        <v>823768</v>
      </c>
      <c r="AC40" s="19">
        <f t="shared" si="1"/>
        <v>9165894</v>
      </c>
      <c r="AD40" s="19">
        <f t="shared" si="2"/>
        <v>6126070</v>
      </c>
      <c r="AE40" s="19">
        <v>1006397</v>
      </c>
      <c r="AF40" s="19">
        <f t="shared" ref="AF40:AL40" si="8">SUM(AF37,AF5)</f>
        <v>701070</v>
      </c>
      <c r="AG40" s="19">
        <f t="shared" si="8"/>
        <v>793158</v>
      </c>
      <c r="AH40" s="19">
        <f t="shared" si="8"/>
        <v>643661</v>
      </c>
      <c r="AI40" s="19">
        <f t="shared" si="8"/>
        <v>550382</v>
      </c>
      <c r="AJ40" s="19">
        <f t="shared" si="8"/>
        <v>766780</v>
      </c>
      <c r="AK40" s="19">
        <f t="shared" si="8"/>
        <v>802671</v>
      </c>
      <c r="AL40" s="19">
        <f t="shared" si="8"/>
        <v>643693</v>
      </c>
      <c r="AM40" s="19"/>
      <c r="AN40" s="19"/>
      <c r="AO40" s="19"/>
      <c r="AP40" s="19"/>
      <c r="AQ40" s="19"/>
      <c r="AR40" s="19">
        <f t="shared" si="4"/>
        <v>5907812</v>
      </c>
      <c r="AS40" s="26">
        <f>IF(X40=0,"-",((AL40-X40)/X40*100))</f>
        <v>-6.0211640829627378</v>
      </c>
      <c r="AT40" s="26">
        <f>IF(AK40=0,"-",((AL40-AK40)/AK40*100))</f>
        <v>-19.80612230914036</v>
      </c>
      <c r="AU40" s="26">
        <f>IF(AD40=0,"-",((AR40-AD40)/AD40*100))</f>
        <v>-3.5627735236456655</v>
      </c>
    </row>
    <row r="41" spans="2:47" ht="25.2" customHeight="1" x14ac:dyDescent="0.3">
      <c r="Z41" s="24"/>
      <c r="AN41" s="24"/>
    </row>
    <row r="42" spans="2:47" ht="25.2" hidden="1" customHeight="1" x14ac:dyDescent="0.3">
      <c r="B42" s="32" t="s">
        <v>47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3"/>
      <c r="R42" s="33"/>
    </row>
    <row r="43" spans="2:47" ht="25.2" hidden="1" customHeight="1" x14ac:dyDescent="0.3">
      <c r="B43" s="20" t="s">
        <v>48</v>
      </c>
      <c r="C43" s="21"/>
      <c r="D43" s="21"/>
      <c r="Q43" s="21"/>
      <c r="R43" s="21"/>
      <c r="AE43" s="21"/>
      <c r="AF43" s="21"/>
    </row>
    <row r="44" spans="2:47" ht="25.2" customHeight="1" x14ac:dyDescent="0.3">
      <c r="B44" s="34" t="s">
        <v>49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5"/>
      <c r="R44" s="35"/>
    </row>
    <row r="45" spans="2:47" ht="25.2" customHeight="1" x14ac:dyDescent="0.3">
      <c r="B45" s="22" t="s">
        <v>50</v>
      </c>
      <c r="C45" s="23"/>
      <c r="D45" s="23"/>
      <c r="Q45" s="23"/>
      <c r="R45" s="23"/>
      <c r="AE45" s="23"/>
      <c r="AF45" s="23"/>
    </row>
  </sheetData>
  <mergeCells count="7">
    <mergeCell ref="AS3:AU3"/>
    <mergeCell ref="AE3:AR3"/>
    <mergeCell ref="B42:R42"/>
    <mergeCell ref="B44:R44"/>
    <mergeCell ref="B3:B4"/>
    <mergeCell ref="Q3:AD3"/>
    <mergeCell ref="C3:P3"/>
  </mergeCells>
  <pageMargins left="0.23622047244094491" right="0.23622047244094491" top="0.74803149606299213" bottom="0.74803149606299213" header="0.31496062992125984" footer="0.31496062992125984"/>
  <pageSetup paperSize="9" scale="75" fitToHeight="0" orientation="landscape" r:id="rId1"/>
  <ignoredErrors>
    <ignoredError sqref="B2 Q4:AC4 B5:B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Wisnas</vt:lpstr>
      <vt:lpstr>Wisnas!Print_Titles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Alan Amory</dc:creator>
  <cp:lastModifiedBy>Ryan Ardias</cp:lastModifiedBy>
  <cp:lastPrinted>2026-09-02T07:43:54Z</cp:lastPrinted>
  <dcterms:created xsi:type="dcterms:W3CDTF">2025-03-07T07:54:10Z</dcterms:created>
  <dcterms:modified xsi:type="dcterms:W3CDTF">2026-10-02T03:48:51Z</dcterms:modified>
</cp:coreProperties>
</file>